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26514\Desktop\"/>
    </mc:Choice>
  </mc:AlternateContent>
  <xr:revisionPtr revIDLastSave="0" documentId="13_ncr:1_{CB8F2F1D-44C6-43CC-9D2E-D1EB330F6589}" xr6:coauthVersionLast="47" xr6:coauthVersionMax="47" xr10:uidLastSave="{00000000-0000-0000-0000-000000000000}"/>
  <bookViews>
    <workbookView xWindow="-110" yWindow="-110" windowWidth="25820" windowHeight="14620" tabRatio="515" xr2:uid="{00000000-000D-0000-FFFF-FFFF00000000}"/>
  </bookViews>
  <sheets>
    <sheet name="临班150进度表" sheetId="25" r:id="rId1"/>
    <sheet name="临班150评价表" sheetId="27" r:id="rId2"/>
    <sheet name="临班150原始表" sheetId="32" r:id="rId3"/>
    <sheet name="临班150登记表" sheetId="33" r:id="rId4"/>
  </sheets>
  <definedNames>
    <definedName name="_xlnm.Print_Area" localSheetId="1">临班150评价表!$A$1:$S$18</definedName>
    <definedName name="_xlnm.Print_Titles" localSheetId="0">临班150进度表!$1:$8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7" l="1"/>
  <c r="C9" i="27" s="1"/>
  <c r="E9" i="27" l="1"/>
  <c r="F9" i="27"/>
  <c r="H5" i="27"/>
  <c r="D9" i="27"/>
  <c r="G9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jj</author>
  </authors>
  <commentList>
    <comment ref="H4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批注:</t>
        </r>
        <r>
          <rPr>
            <sz val="9"/>
            <rFont val="宋体"/>
            <family val="3"/>
            <charset val="134"/>
          </rPr>
          <t xml:space="preserve">
批注:
批注:
批注:
批注:
jj:
应到人数为班级人数，
应到＝实到+缺考+违纪
</t>
        </r>
      </text>
    </comment>
  </commentList>
</comments>
</file>

<file path=xl/sharedStrings.xml><?xml version="1.0" encoding="utf-8"?>
<sst xmlns="http://schemas.openxmlformats.org/spreadsheetml/2006/main" count="978" uniqueCount="308">
  <si>
    <t>2023-2024学年第二学期</t>
  </si>
  <si>
    <t>计算机科学学院</t>
  </si>
  <si>
    <t>任课教师</t>
  </si>
  <si>
    <t>金贻</t>
  </si>
  <si>
    <t>课程名称</t>
  </si>
  <si>
    <t>授课班级</t>
  </si>
  <si>
    <t>考核办法</t>
  </si>
  <si>
    <r>
      <rPr>
        <sz val="12"/>
        <rFont val="仿宋"/>
        <family val="3"/>
        <charset val="134"/>
      </rPr>
      <t xml:space="preserve">□开卷 </t>
    </r>
    <r>
      <rPr>
        <sz val="12"/>
        <rFont val="Wingdings"/>
        <charset val="2"/>
      </rPr>
      <t>þ</t>
    </r>
    <r>
      <rPr>
        <sz val="12"/>
        <rFont val="仿宋"/>
        <family val="3"/>
        <charset val="134"/>
      </rPr>
      <t>闭卷 □其他</t>
    </r>
  </si>
  <si>
    <t>总学时数</t>
  </si>
  <si>
    <t>授课时间</t>
  </si>
  <si>
    <t>教材名称、作者及出版社</t>
  </si>
  <si>
    <t>《大学计算机》（第6版）蒋加伏 罗俊 商务印书馆</t>
  </si>
  <si>
    <t>参考书名称、作者及出版社</t>
  </si>
  <si>
    <t>《大学计算机实践教程》（第6版）蒋加伏 商务印书馆</t>
  </si>
  <si>
    <t>教学进度及授课安排</t>
  </si>
  <si>
    <t>周次</t>
  </si>
  <si>
    <t>上课时间</t>
  </si>
  <si>
    <t>周学时</t>
  </si>
  <si>
    <t>授课内容</t>
  </si>
  <si>
    <t>作业次数</t>
  </si>
  <si>
    <t>实验/实训/
实践内容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</si>
  <si>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</si>
  <si>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</si>
  <si>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</si>
  <si>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</si>
  <si>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</si>
  <si>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</si>
  <si>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</si>
  <si>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</si>
  <si>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</si>
  <si>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</si>
  <si>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</si>
  <si>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</si>
  <si>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</si>
  <si>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</si>
  <si>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</si>
  <si>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</si>
  <si>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</si>
  <si>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</si>
  <si>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序号</t>
  </si>
  <si>
    <t>学号</t>
  </si>
  <si>
    <t>姓名</t>
  </si>
  <si>
    <t>成绩
(占  %)</t>
  </si>
  <si>
    <t>备注</t>
  </si>
  <si>
    <t>1</t>
  </si>
  <si>
    <t>86</t>
  </si>
  <si>
    <t>2</t>
  </si>
  <si>
    <t>89</t>
  </si>
  <si>
    <t>3</t>
  </si>
  <si>
    <t>4</t>
  </si>
  <si>
    <t>84</t>
  </si>
  <si>
    <t>5</t>
  </si>
  <si>
    <t>6</t>
  </si>
  <si>
    <t>7</t>
  </si>
  <si>
    <t>8</t>
  </si>
  <si>
    <t>88</t>
  </si>
  <si>
    <t>9</t>
  </si>
  <si>
    <t>90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</si>
  <si>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</si>
  <si>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</si>
  <si>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</si>
  <si>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</si>
  <si>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</si>
  <si>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</si>
  <si>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</si>
  <si>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</si>
  <si>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</si>
  <si>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</si>
  <si>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</si>
  <si>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</si>
  <si>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</si>
  <si>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</si>
  <si>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</si>
  <si>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</si>
  <si>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</si>
  <si>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</si>
  <si>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</si>
  <si>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</si>
  <si>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</si>
  <si>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</si>
  <si>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85</t>
  </si>
  <si>
    <t>登分人(签字)：</t>
  </si>
  <si>
    <t>登分日期：</t>
  </si>
  <si>
    <t>审核人(签字):</t>
  </si>
  <si>
    <t>审核日期：</t>
  </si>
  <si>
    <t>备注：</t>
  </si>
  <si>
    <t>1.此表一式两份，交教学院一份，任课教师自留一份；</t>
  </si>
  <si>
    <t xml:space="preserve">   </t>
  </si>
  <si>
    <t>2.要求字迹清楚，及格成绩用蓝、黑墨水填写，不及格成绩一律用红色墨水填写；</t>
  </si>
  <si>
    <t>3.考勤标记符号要清楚、统一，如：旷课“×”，迟到“⊕”，病事假“△”；</t>
  </si>
  <si>
    <t>5.各项平时成绩生成简要说明：</t>
  </si>
  <si>
    <t>贵阳学院学生成绩[原始]</t>
  </si>
  <si>
    <t>性别</t>
  </si>
  <si>
    <t>修读</t>
  </si>
  <si>
    <t>成绩</t>
  </si>
  <si>
    <t>辅修</t>
  </si>
  <si>
    <t>性质</t>
  </si>
  <si>
    <t>平时</t>
  </si>
  <si>
    <t>期中</t>
  </si>
  <si>
    <t>实验</t>
  </si>
  <si>
    <t>技术</t>
  </si>
  <si>
    <t>实训</t>
  </si>
  <si>
    <t>期末</t>
  </si>
  <si>
    <t>综合</t>
  </si>
  <si>
    <t>标记</t>
  </si>
  <si>
    <t>女</t>
  </si>
  <si>
    <t>首修</t>
  </si>
  <si>
    <t/>
  </si>
  <si>
    <t>主修</t>
  </si>
  <si>
    <t>男</t>
  </si>
  <si>
    <t>分数段</t>
  </si>
  <si>
    <t>[100-90]</t>
  </si>
  <si>
    <t>(90-80]</t>
  </si>
  <si>
    <t>(80-70]</t>
  </si>
  <si>
    <t>(70-60]</t>
  </si>
  <si>
    <t>(60-0]</t>
  </si>
  <si>
    <t>缓考</t>
  </si>
  <si>
    <t>缺考</t>
  </si>
  <si>
    <t>舞弊</t>
  </si>
  <si>
    <t>(等级)</t>
  </si>
  <si>
    <t>(优秀)</t>
  </si>
  <si>
    <t>(良好)</t>
  </si>
  <si>
    <t>(中等)</t>
  </si>
  <si>
    <t>(及格)</t>
  </si>
  <si>
    <t>(不及格)</t>
  </si>
  <si>
    <t>类别</t>
  </si>
  <si>
    <t>末考</t>
  </si>
  <si>
    <t>0</t>
  </si>
  <si>
    <t>百分比</t>
  </si>
  <si>
    <t>0.00</t>
  </si>
  <si>
    <r>
      <rPr>
        <sz val="14"/>
        <color rgb="FF000000"/>
        <rFont val="黑体"/>
        <family val="3"/>
        <charset val="134"/>
      </rPr>
      <t>20</t>
    </r>
    <r>
      <rPr>
        <sz val="14"/>
        <color theme="1"/>
        <rFont val="黑体"/>
        <family val="3"/>
        <charset val="134"/>
      </rPr>
      <t>23-2024学年第二学期</t>
    </r>
  </si>
  <si>
    <t>考试时间：</t>
  </si>
  <si>
    <t>学时</t>
  </si>
  <si>
    <t>承担教学院</t>
  </si>
  <si>
    <t>考试形式</t>
  </si>
  <si>
    <t>开卷</t>
  </si>
  <si>
    <t>闭卷</t>
  </si>
  <si>
    <t>※</t>
  </si>
  <si>
    <t>其它</t>
  </si>
  <si>
    <t>学生所在教学院</t>
  </si>
  <si>
    <t>应到</t>
  </si>
  <si>
    <t>实到</t>
  </si>
  <si>
    <t>班级</t>
  </si>
  <si>
    <t>期末考试
成绩分布</t>
  </si>
  <si>
    <t xml:space="preserve"> 0-59</t>
  </si>
  <si>
    <t>60-69</t>
  </si>
  <si>
    <t>70-79</t>
  </si>
  <si>
    <t>80-89</t>
  </si>
  <si>
    <t>90-100</t>
  </si>
  <si>
    <t>最高分</t>
  </si>
  <si>
    <t>最低分</t>
  </si>
  <si>
    <t>人数</t>
  </si>
  <si>
    <t>平均分</t>
  </si>
  <si>
    <t>比例</t>
  </si>
  <si>
    <t>课程性质</t>
  </si>
  <si>
    <t>学生答题情况分析</t>
  </si>
  <si>
    <t>试题有无错误</t>
  </si>
  <si>
    <t>试题覆盖面</t>
  </si>
  <si>
    <t>试题难易度</t>
  </si>
  <si>
    <t>有</t>
  </si>
  <si>
    <t>无</t>
  </si>
  <si>
    <t>宽</t>
  </si>
  <si>
    <t>中</t>
  </si>
  <si>
    <t>窄</t>
  </si>
  <si>
    <t>难</t>
  </si>
  <si>
    <t>适中</t>
  </si>
  <si>
    <t>较易</t>
  </si>
  <si>
    <t>易</t>
  </si>
  <si>
    <t>包括：试题符合教学大纲的情况，考核学生能力的情况，试题内容表述及主客观题比例等的情况分析</t>
  </si>
  <si>
    <t>包括：教学效果分析、今后教学改革、试卷改进意见和措施等</t>
  </si>
  <si>
    <t>任课教师签名：</t>
  </si>
  <si>
    <t>教学院审核人：</t>
  </si>
  <si>
    <t>备注：1.输入"期末考试成绩分布"栏中的"人数"（人数为0时填写为空白）即可自动生成"实到"、"比例"和右上角的直方图；
      2.此表一式两份，一份存于试卷袋内，一份教师自留。</t>
  </si>
  <si>
    <t xml:space="preserve">教师签名:          日期: 2025年03月19日   审核人(签字):         审核日期:     </t>
  </si>
  <si>
    <t>刘祖进</t>
  </si>
  <si>
    <t>231220051027</t>
  </si>
  <si>
    <t>瞿家乐</t>
  </si>
  <si>
    <t>230520051057</t>
  </si>
  <si>
    <t>张焱</t>
  </si>
  <si>
    <t>230520051051</t>
  </si>
  <si>
    <t>张峻豪</t>
  </si>
  <si>
    <t>230520051049</t>
  </si>
  <si>
    <t>张晨</t>
  </si>
  <si>
    <t>230520051046</t>
  </si>
  <si>
    <t>韦兴开</t>
  </si>
  <si>
    <t>230520051035</t>
  </si>
  <si>
    <t>卢林护</t>
  </si>
  <si>
    <t>230520051020</t>
  </si>
  <si>
    <t>黄丽</t>
  </si>
  <si>
    <t>230520051017</t>
  </si>
  <si>
    <t>陈煜</t>
  </si>
  <si>
    <t>230520051008</t>
  </si>
  <si>
    <t>毕淑昊</t>
  </si>
  <si>
    <t>230520051002</t>
  </si>
  <si>
    <t>袁雪</t>
  </si>
  <si>
    <t>230505051053</t>
  </si>
  <si>
    <t>杨慧</t>
  </si>
  <si>
    <t>230505051047</t>
  </si>
  <si>
    <t>肖朗</t>
  </si>
  <si>
    <t>230505051041</t>
  </si>
  <si>
    <t>王银凤</t>
  </si>
  <si>
    <t>230505051036</t>
  </si>
  <si>
    <t>陈士晶</t>
  </si>
  <si>
    <t>230505051005</t>
  </si>
  <si>
    <t>陈标</t>
  </si>
  <si>
    <t>230505051002</t>
  </si>
  <si>
    <t>方猛</t>
  </si>
  <si>
    <t>221514501009</t>
  </si>
  <si>
    <t>徐永桃</t>
  </si>
  <si>
    <t>220610501044</t>
  </si>
  <si>
    <t>严强</t>
  </si>
  <si>
    <t>220523501024</t>
  </si>
  <si>
    <t>潘文志</t>
  </si>
  <si>
    <t>220520501050</t>
  </si>
  <si>
    <t>杜秀武</t>
  </si>
  <si>
    <t>220520501046</t>
  </si>
  <si>
    <t>厉子隆</t>
  </si>
  <si>
    <t>220520501045</t>
  </si>
  <si>
    <t>周于超</t>
  </si>
  <si>
    <t>220520501044</t>
  </si>
  <si>
    <t>先海</t>
  </si>
  <si>
    <t>220520501036</t>
  </si>
  <si>
    <t>杜铮</t>
  </si>
  <si>
    <t>220520501035</t>
  </si>
  <si>
    <t>胡洪文</t>
  </si>
  <si>
    <t>220520501032</t>
  </si>
  <si>
    <t>陈鑫</t>
  </si>
  <si>
    <t>210523501052</t>
  </si>
  <si>
    <t>蹇欢</t>
  </si>
  <si>
    <t>210523501039</t>
  </si>
  <si>
    <t>申琴</t>
  </si>
  <si>
    <t>210523501022</t>
  </si>
  <si>
    <t>任爱江</t>
  </si>
  <si>
    <t>210520501044</t>
  </si>
  <si>
    <t>邓子璐</t>
  </si>
  <si>
    <t>210520501032</t>
  </si>
  <si>
    <t>黄子逸</t>
  </si>
  <si>
    <t>210520501031</t>
  </si>
  <si>
    <t>陈鸿宇</t>
  </si>
  <si>
    <t>210520501030</t>
  </si>
  <si>
    <t>邓自美</t>
  </si>
  <si>
    <t>210520501029</t>
  </si>
  <si>
    <t>肖辉</t>
  </si>
  <si>
    <t>210520501028</t>
  </si>
  <si>
    <t>张靖</t>
  </si>
  <si>
    <t>210520501026</t>
  </si>
  <si>
    <t>谷盛</t>
  </si>
  <si>
    <t>210520501025</t>
  </si>
  <si>
    <t>徐梓晏</t>
  </si>
  <si>
    <t>210520501024</t>
  </si>
  <si>
    <t>胡文涛</t>
  </si>
  <si>
    <t>210520501023</t>
  </si>
  <si>
    <t>杨琴</t>
  </si>
  <si>
    <t>210520501005</t>
  </si>
  <si>
    <t>2024-2025学年第一学期</t>
  </si>
  <si>
    <t>作业（占   %）</t>
  </si>
  <si>
    <t>考勤（占   %）</t>
  </si>
  <si>
    <t>末考成绩
(占   %)</t>
  </si>
  <si>
    <t>平时小计
(占  %)</t>
  </si>
  <si>
    <t xml:space="preserve">平时成绩构成                                                            </t>
  </si>
  <si>
    <t>人数：</t>
  </si>
  <si>
    <t xml:space="preserve">   任课/指导教师：金贻</t>
  </si>
  <si>
    <t>考核 方式：考查</t>
  </si>
  <si>
    <t>总学时/周数：36</t>
  </si>
  <si>
    <t>类别：公共选修课</t>
  </si>
  <si>
    <t>学    分：2</t>
  </si>
  <si>
    <t>承 担 单 位：计算机科学学院</t>
  </si>
  <si>
    <t>贵阳学院成绩登记册</t>
  </si>
  <si>
    <t>金贻</t>
    <phoneticPr fontId="22" type="noConversion"/>
  </si>
  <si>
    <t>4.综合成绩 = 平时成绩（0%）+末考成绩（100%）                  平时成绩 =         （   %）+         （   %）+         （   %）</t>
    <phoneticPr fontId="22" type="noConversion"/>
  </si>
  <si>
    <t>公共选修</t>
  </si>
  <si>
    <r>
      <t xml:space="preserve">    根据考试成绩分布，</t>
    </r>
    <r>
      <rPr>
        <sz val="14"/>
        <color theme="1"/>
        <rFont val="宋体"/>
        <family val="3"/>
        <charset val="134"/>
      </rPr>
      <t>100</t>
    </r>
    <r>
      <rPr>
        <sz val="14"/>
        <color theme="1"/>
        <rFont val="仿宋"/>
        <family val="3"/>
        <charset val="134"/>
      </rPr>
      <t>%</t>
    </r>
    <r>
      <rPr>
        <sz val="14"/>
        <color rgb="FF000000"/>
        <rFont val="仿宋"/>
        <family val="3"/>
        <charset val="134"/>
      </rPr>
      <t xml:space="preserve">的学生达到良好及以上：
    通过课程的学习，学生能较好掌握课程大纲所要求的学习内容。
 </t>
    </r>
    <phoneticPr fontId="22" type="noConversion"/>
  </si>
  <si>
    <t>教学反思及改进意见</t>
    <phoneticPr fontId="22" type="noConversion"/>
  </si>
  <si>
    <t>2024年10月14日-2024年12月22日</t>
    <phoneticPr fontId="22" type="noConversion"/>
  </si>
  <si>
    <t xml:space="preserve">命题质量分析 </t>
    <phoneticPr fontId="22" type="noConversion"/>
  </si>
  <si>
    <t xml:space="preserve">    期末考试</t>
    <phoneticPr fontId="22" type="noConversion"/>
  </si>
  <si>
    <t>综合 平均成绩：85.25 及格率：100.00% 标准差：2 最高成绩：90 最低成绩：84</t>
  </si>
  <si>
    <t>末考 平均成绩：85.25 及格率：100.00% 标准差：  最高成绩：90 最低成绩：84</t>
  </si>
  <si>
    <t>97.50</t>
  </si>
  <si>
    <t>2.50</t>
  </si>
  <si>
    <t>人数(40)</t>
  </si>
  <si>
    <t>课程/环节：[057165]密码学原理及应用</t>
  </si>
  <si>
    <r>
      <rPr>
        <sz val="10"/>
        <color rgb="FF000000"/>
        <rFont val="微软雅黑"/>
        <family val="2"/>
        <charset val="134"/>
      </rPr>
      <t>任课教师</t>
    </r>
    <r>
      <rPr>
        <sz val="10"/>
        <color rgb="FF000000"/>
        <rFont val="Arial"/>
        <family val="2"/>
      </rPr>
      <t>: [jk1048]</t>
    </r>
    <r>
      <rPr>
        <sz val="10"/>
        <color rgb="FF000000"/>
        <rFont val="微软雅黑"/>
        <family val="2"/>
        <charset val="134"/>
      </rPr>
      <t>金贻</t>
    </r>
    <r>
      <rPr>
        <sz val="10"/>
        <color rgb="FF000000"/>
        <rFont val="Arial"/>
        <family val="2"/>
      </rPr>
      <t xml:space="preserve">   </t>
    </r>
    <r>
      <rPr>
        <sz val="10"/>
        <color rgb="FF000000"/>
        <rFont val="微软雅黑"/>
        <family val="2"/>
        <charset val="134"/>
      </rPr>
      <t>上课班级</t>
    </r>
    <r>
      <rPr>
        <sz val="10"/>
        <color rgb="FF000000"/>
        <rFont val="Arial"/>
        <family val="2"/>
      </rPr>
      <t>:</t>
    </r>
    <r>
      <rPr>
        <sz val="10"/>
        <color rgb="FF000000"/>
        <rFont val="微软雅黑"/>
        <family val="2"/>
        <charset val="134"/>
      </rPr>
      <t>临班</t>
    </r>
    <r>
      <rPr>
        <sz val="10"/>
        <color rgb="FF000000"/>
        <rFont val="Arial"/>
        <family val="2"/>
      </rPr>
      <t xml:space="preserve">150   </t>
    </r>
    <r>
      <rPr>
        <sz val="10"/>
        <color rgb="FF000000"/>
        <rFont val="微软雅黑"/>
        <family val="2"/>
        <charset val="134"/>
      </rPr>
      <t>考核方式</t>
    </r>
    <r>
      <rPr>
        <sz val="10"/>
        <color rgb="FF000000"/>
        <rFont val="Arial"/>
        <family val="2"/>
      </rPr>
      <t>:</t>
    </r>
    <r>
      <rPr>
        <sz val="10"/>
        <color rgb="FF000000"/>
        <rFont val="微软雅黑"/>
        <family val="2"/>
        <charset val="134"/>
      </rPr>
      <t>考查</t>
    </r>
    <r>
      <rPr>
        <sz val="10"/>
        <color rgb="FF000000"/>
        <rFont val="Arial"/>
        <family val="2"/>
      </rPr>
      <t xml:space="preserve">    </t>
    </r>
    <r>
      <rPr>
        <sz val="10"/>
        <color rgb="FF000000"/>
        <rFont val="微软雅黑"/>
        <family val="2"/>
        <charset val="134"/>
      </rPr>
      <t>上课人数</t>
    </r>
    <r>
      <rPr>
        <sz val="10"/>
        <color rgb="FF000000"/>
        <rFont val="Arial"/>
        <family val="2"/>
      </rPr>
      <t>:40</t>
    </r>
    <phoneticPr fontId="22" type="noConversion"/>
  </si>
  <si>
    <t xml:space="preserve">行政班级：临班150  </t>
    <phoneticPr fontId="22" type="noConversion"/>
  </si>
  <si>
    <r>
      <rPr>
        <sz val="10"/>
        <color rgb="FF000000"/>
        <rFont val="微软雅黑"/>
        <family val="2"/>
        <charset val="134"/>
      </rPr>
      <t>承担单位</t>
    </r>
    <r>
      <rPr>
        <sz val="10"/>
        <color rgb="FF000000"/>
        <rFont val="Arial"/>
        <family val="2"/>
      </rPr>
      <t>:</t>
    </r>
    <r>
      <rPr>
        <sz val="10"/>
        <color rgb="FF000000"/>
        <rFont val="微软雅黑"/>
        <family val="2"/>
        <charset val="134"/>
      </rPr>
      <t>计算机科学学院</t>
    </r>
    <r>
      <rPr>
        <sz val="10"/>
        <color rgb="FF000000"/>
        <rFont val="Arial"/>
        <family val="2"/>
      </rPr>
      <t xml:space="preserve">            </t>
    </r>
    <r>
      <rPr>
        <sz val="10"/>
        <color rgb="FF000000"/>
        <rFont val="微软雅黑"/>
        <family val="2"/>
        <charset val="134"/>
      </rPr>
      <t>课</t>
    </r>
    <r>
      <rPr>
        <sz val="10"/>
        <color rgb="FF000000"/>
        <rFont val="Arial"/>
        <family val="2"/>
      </rPr>
      <t xml:space="preserve">   </t>
    </r>
    <r>
      <rPr>
        <sz val="10"/>
        <color rgb="FF000000"/>
        <rFont val="微软雅黑"/>
        <family val="2"/>
        <charset val="134"/>
      </rPr>
      <t>程</t>
    </r>
    <r>
      <rPr>
        <sz val="10"/>
        <color rgb="FF000000"/>
        <rFont val="Arial"/>
        <family val="2"/>
      </rPr>
      <t>:</t>
    </r>
    <r>
      <rPr>
        <sz val="10"/>
        <color rgb="FF000000"/>
        <rFont val="微软雅黑"/>
        <family val="2"/>
        <charset val="134"/>
      </rPr>
      <t>密码学原理及应用</t>
    </r>
    <r>
      <rPr>
        <sz val="10"/>
        <color rgb="FF000000"/>
        <rFont val="Arial"/>
        <family val="2"/>
      </rPr>
      <t xml:space="preserve">               </t>
    </r>
    <r>
      <rPr>
        <sz val="10"/>
        <color rgb="FF000000"/>
        <rFont val="微软雅黑"/>
        <family val="2"/>
        <charset val="134"/>
      </rPr>
      <t>课程类别</t>
    </r>
    <r>
      <rPr>
        <sz val="10"/>
        <color rgb="FF000000"/>
        <rFont val="Arial"/>
        <family val="2"/>
      </rPr>
      <t>:</t>
    </r>
    <r>
      <rPr>
        <sz val="10"/>
        <color rgb="FF000000"/>
        <rFont val="微软雅黑"/>
        <family val="2"/>
        <charset val="134"/>
      </rPr>
      <t>公共选修课</t>
    </r>
    <r>
      <rPr>
        <sz val="10"/>
        <color rgb="FF000000"/>
        <rFont val="Arial"/>
        <family val="2"/>
      </rPr>
      <t>/</t>
    </r>
    <r>
      <rPr>
        <sz val="10"/>
        <color rgb="FF000000"/>
        <rFont val="微软雅黑"/>
        <family val="2"/>
        <charset val="134"/>
      </rPr>
      <t>公选</t>
    </r>
    <r>
      <rPr>
        <sz val="10"/>
        <color rgb="FF000000"/>
        <rFont val="Arial"/>
        <family val="2"/>
      </rPr>
      <t xml:space="preserve">   </t>
    </r>
    <r>
      <rPr>
        <sz val="10"/>
        <color rgb="FF000000"/>
        <rFont val="微软雅黑"/>
        <family val="2"/>
        <charset val="134"/>
      </rPr>
      <t>学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微软雅黑"/>
        <family val="2"/>
        <charset val="134"/>
      </rPr>
      <t>分</t>
    </r>
    <r>
      <rPr>
        <sz val="10"/>
        <color rgb="FF000000"/>
        <rFont val="Arial"/>
        <family val="2"/>
      </rPr>
      <t>2</t>
    </r>
    <phoneticPr fontId="22" type="noConversion"/>
  </si>
  <si>
    <t>临班150</t>
    <phoneticPr fontId="22" type="noConversion"/>
  </si>
  <si>
    <t>《密码学原理及应用》</t>
    <phoneticPr fontId="22" type="noConversion"/>
  </si>
  <si>
    <t xml:space="preserve">    该考试采用“单选、多选和实践操作”的形式，涵盖基础理论、密码算法、加密协议、安全应用和密码分析等模块。
    试卷内容较好地覆盖了教材的核心知识点，能够有效评估学生对密码学原理及应用的掌握情况。</t>
    <phoneticPr fontId="22" type="noConversion"/>
  </si>
  <si>
    <t xml:space="preserve">    参照考试结果与教学过程，对本学期该课程的教学反思如下：
    （一）使用的教材和参考资料相对滞后，部分内容未能反映最新的密码学技术与发展动态，影响了学生对前沿技术的了解；
    （二）定期更新教材，结合最新的密码学研究与发展，确保课程内容的时效性与实用性。
引入外部资源，如最新的学术论文、行业报告和在线课程，丰富学生的学习材料。</t>
    <phoneticPr fontId="22" type="noConversion"/>
  </si>
  <si>
    <t>二[9、10]</t>
    <phoneticPr fontId="22" type="noConversion"/>
  </si>
  <si>
    <t>密码学原理及应用</t>
    <phoneticPr fontId="22" type="noConversion"/>
  </si>
  <si>
    <t xml:space="preserve">    密码学的历史与基本概念</t>
    <phoneticPr fontId="22" type="noConversion"/>
  </si>
  <si>
    <t xml:space="preserve">    对称加密算法（如DES、AES）</t>
    <phoneticPr fontId="22" type="noConversion"/>
  </si>
  <si>
    <t xml:space="preserve">    非对称加密算法</t>
    <phoneticPr fontId="22" type="noConversion"/>
  </si>
  <si>
    <t xml:space="preserve">    哈希函数的原理与应用</t>
    <phoneticPr fontId="22" type="noConversion"/>
  </si>
  <si>
    <t xml:space="preserve">    数字签名的原理与应用</t>
    <phoneticPr fontId="22" type="noConversion"/>
  </si>
  <si>
    <t xml:space="preserve">    密钥的生成、分发与存储</t>
    <phoneticPr fontId="22" type="noConversion"/>
  </si>
  <si>
    <t xml:space="preserve">    经典密码协议</t>
    <phoneticPr fontId="22" type="noConversion"/>
  </si>
  <si>
    <t xml:space="preserve">    公钥基础设施的组成与运作</t>
    <phoneticPr fontId="22" type="noConversion"/>
  </si>
  <si>
    <t xml:space="preserve">    密码学在网络安全中的应用</t>
    <phoneticPr fontId="22" type="noConversion"/>
  </si>
  <si>
    <t xml:space="preserve">    密码分析的基本方法与策略</t>
    <phoneticPr fontId="22" type="noConversion"/>
  </si>
  <si>
    <t xml:space="preserve">    安全编码与软件开发中的密码学</t>
    <phoneticPr fontId="22" type="noConversion"/>
  </si>
  <si>
    <t xml:space="preserve">    隐私保护与数据安全</t>
    <phoneticPr fontId="22" type="noConversion"/>
  </si>
  <si>
    <t xml:space="preserve">    密码学在电子货币与区块链中的应用</t>
    <phoneticPr fontId="22" type="noConversion"/>
  </si>
  <si>
    <t xml:space="preserve">    量子密码学与未来的挑战</t>
    <phoneticPr fontId="22" type="noConversion"/>
  </si>
  <si>
    <t xml:space="preserve">    密码学中的法律问题与伦理考量</t>
    <phoneticPr fontId="22" type="noConversion"/>
  </si>
  <si>
    <t xml:space="preserve">    综合应用密码学解决实际问题</t>
    <phoneticPr fontId="22" type="noConversion"/>
  </si>
  <si>
    <t xml:space="preserve">    密码学知识综合复习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</si>
</sst>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6">
    <font>
      <sz val="12"/>
      <name val="宋体"/>
      <charset val="134"/>
    </font>
    <font>
      <sz val="14"/>
      <color rgb="FF000000"/>
      <name val="黑体"/>
      <family val="3"/>
      <charset val="134"/>
    </font>
    <font>
      <sz val="14"/>
      <name val="黑体"/>
      <family val="3"/>
      <charset val="134"/>
    </font>
    <font>
      <sz val="14"/>
      <color theme="0"/>
      <name val="黑体"/>
      <family val="3"/>
      <charset val="134"/>
    </font>
    <font>
      <sz val="12"/>
      <name val="黑体"/>
      <family val="3"/>
      <charset val="134"/>
    </font>
    <font>
      <sz val="12"/>
      <name val="仿宋"/>
      <family val="3"/>
      <charset val="134"/>
    </font>
    <font>
      <sz val="12"/>
      <color theme="1"/>
      <name val="仿宋"/>
      <family val="3"/>
      <charset val="134"/>
    </font>
    <font>
      <sz val="12"/>
      <color rgb="FFC00000"/>
      <name val="仿宋"/>
      <family val="3"/>
      <charset val="134"/>
    </font>
    <font>
      <sz val="14"/>
      <color rgb="FF000000"/>
      <name val="仿宋"/>
      <family val="3"/>
      <charset val="134"/>
    </font>
    <font>
      <sz val="14"/>
      <name val="仿宋"/>
      <family val="3"/>
      <charset val="134"/>
    </font>
    <font>
      <sz val="10"/>
      <name val="黑体"/>
      <family val="3"/>
      <charset val="134"/>
    </font>
    <font>
      <b/>
      <sz val="22"/>
      <name val="可可我爱你有迹可循"/>
      <charset val="134"/>
    </font>
    <font>
      <sz val="22"/>
      <name val="可可我爱你有迹可循"/>
      <charset val="134"/>
    </font>
    <font>
      <sz val="11"/>
      <name val="宋体"/>
      <family val="3"/>
      <charset val="134"/>
    </font>
    <font>
      <sz val="14"/>
      <color theme="1"/>
      <name val="仿宋"/>
      <family val="3"/>
      <charset val="134"/>
    </font>
    <font>
      <sz val="12"/>
      <color rgb="FF000000"/>
      <name val="仿宋"/>
      <family val="3"/>
      <charset val="134"/>
    </font>
    <font>
      <sz val="12"/>
      <name val="楷体"/>
      <family val="3"/>
      <charset val="134"/>
    </font>
    <font>
      <sz val="14"/>
      <color rgb="FFC00000"/>
      <name val="仿宋"/>
      <family val="3"/>
      <charset val="134"/>
    </font>
    <font>
      <sz val="11"/>
      <color indexed="8"/>
      <name val="宋体"/>
      <family val="3"/>
      <charset val="134"/>
    </font>
    <font>
      <b/>
      <sz val="16"/>
      <color indexed="8"/>
      <name val="Arial Unicode MS"/>
      <family val="2"/>
    </font>
    <font>
      <b/>
      <sz val="9.8000000000000007"/>
      <color indexed="8"/>
      <name val="Arial Unicode MS"/>
      <family val="2"/>
    </font>
    <font>
      <sz val="10"/>
      <color indexed="8"/>
      <name val="Arial Unicode MS"/>
      <family val="2"/>
    </font>
    <font>
      <sz val="9"/>
      <name val="宋体"/>
      <family val="3"/>
      <charset val="134"/>
    </font>
    <font>
      <sz val="14"/>
      <color theme="1"/>
      <name val="黑体"/>
      <family val="3"/>
      <charset val="134"/>
    </font>
    <font>
      <sz val="10"/>
      <color indexed="8"/>
      <name val="宋体"/>
      <family val="3"/>
      <charset val="134"/>
    </font>
    <font>
      <sz val="14"/>
      <color theme="0"/>
      <name val="仿宋"/>
      <family val="3"/>
      <charset val="134"/>
    </font>
    <font>
      <sz val="12"/>
      <color rgb="FFFF0000"/>
      <name val="仿宋"/>
      <family val="3"/>
      <charset val="134"/>
    </font>
    <font>
      <sz val="14"/>
      <color theme="1"/>
      <name val="宋体"/>
      <family val="3"/>
      <charset val="134"/>
    </font>
    <font>
      <sz val="12"/>
      <name val="Wingdings"/>
      <charset val="2"/>
    </font>
    <font>
      <b/>
      <sz val="9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</font>
    <font>
      <sz val="10"/>
      <color rgb="FF000000"/>
      <name val="Arial Unicode MS"/>
      <family val="2"/>
      <charset val="134"/>
    </font>
    <font>
      <b/>
      <sz val="10"/>
      <color indexed="8"/>
      <name val="宋体"/>
      <family val="3"/>
      <charset val="134"/>
    </font>
    <font>
      <b/>
      <sz val="16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0" fillId="0" borderId="0">
      <alignment vertical="center"/>
    </xf>
    <xf numFmtId="0" fontId="22" fillId="0" borderId="0" applyFont="0" applyAlignment="0">
      <alignment vertical="center" wrapText="1"/>
    </xf>
  </cellStyleXfs>
  <cellXfs count="144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9" fontId="3" fillId="0" borderId="0" xfId="0" applyNumberFormat="1" applyFont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49" fontId="4" fillId="0" borderId="5" xfId="0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shrinkToFit="1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10" fontId="5" fillId="0" borderId="1" xfId="0" applyNumberFormat="1" applyFont="1" applyBorder="1" applyAlignment="1" applyProtection="1">
      <alignment horizontal="center" vertical="center" shrinkToFit="1"/>
      <protection hidden="1"/>
    </xf>
    <xf numFmtId="49" fontId="4" fillId="0" borderId="1" xfId="0" applyNumberFormat="1" applyFont="1" applyBorder="1" applyAlignment="1" applyProtection="1">
      <alignment horizontal="center" vertical="center" textRotation="255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9" fontId="25" fillId="0" borderId="0" xfId="0" applyNumberFormat="1" applyFont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49" fontId="16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justify" vertical="center" wrapText="1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justify"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31" fontId="14" fillId="0" borderId="0" xfId="0" applyNumberFormat="1" applyFont="1" applyAlignment="1" applyProtection="1">
      <alignment horizontal="center" vertical="center"/>
      <protection locked="0"/>
    </xf>
    <xf numFmtId="31" fontId="17" fillId="0" borderId="0" xfId="0" applyNumberFormat="1" applyFont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0" fontId="9" fillId="0" borderId="10" xfId="0" applyFont="1" applyBorder="1" applyAlignment="1" applyProtection="1">
      <alignment vertical="center" wrapText="1"/>
      <protection locked="0"/>
    </xf>
    <xf numFmtId="0" fontId="10" fillId="0" borderId="11" xfId="0" applyFont="1" applyBorder="1" applyAlignment="1" applyProtection="1">
      <alignment horizontal="left" vertical="center"/>
      <protection locked="0"/>
    </xf>
    <xf numFmtId="0" fontId="10" fillId="0" borderId="15" xfId="0" applyFont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9" fillId="0" borderId="13" xfId="0" applyFont="1" applyBorder="1" applyAlignment="1" applyProtection="1">
      <alignment vertical="center" wrapText="1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31" fontId="6" fillId="0" borderId="3" xfId="0" applyNumberFormat="1" applyFont="1" applyBorder="1" applyAlignment="1" applyProtection="1">
      <alignment horizontal="center" vertical="center"/>
      <protection locked="0"/>
    </xf>
    <xf numFmtId="31" fontId="6" fillId="0" borderId="4" xfId="0" applyNumberFormat="1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49" fontId="4" fillId="0" borderId="5" xfId="0" applyNumberFormat="1" applyFont="1" applyBorder="1" applyAlignment="1" applyProtection="1">
      <alignment horizontal="center" vertical="center" textRotation="255" wrapText="1"/>
      <protection locked="0"/>
    </xf>
    <xf numFmtId="49" fontId="4" fillId="0" borderId="6" xfId="0" applyNumberFormat="1" applyFont="1" applyBorder="1" applyAlignment="1" applyProtection="1">
      <alignment horizontal="center" vertical="center" textRotation="255" wrapText="1"/>
      <protection locked="0"/>
    </xf>
    <xf numFmtId="49" fontId="4" fillId="0" borderId="10" xfId="0" applyNumberFormat="1" applyFont="1" applyBorder="1" applyAlignment="1" applyProtection="1">
      <alignment horizontal="center" vertical="center" textRotation="255" wrapText="1"/>
      <protection locked="0"/>
    </xf>
    <xf numFmtId="49" fontId="4" fillId="0" borderId="10" xfId="0" applyNumberFormat="1" applyFont="1" applyBorder="1" applyAlignment="1" applyProtection="1">
      <alignment vertical="center" textRotation="255" wrapText="1"/>
      <protection locked="0"/>
    </xf>
    <xf numFmtId="0" fontId="4" fillId="0" borderId="2" xfId="0" applyFont="1" applyBorder="1" applyAlignment="1" applyProtection="1">
      <alignment horizontal="center" vertical="center" textRotation="255" wrapText="1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13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14" xfId="0" applyFont="1" applyBorder="1" applyAlignment="1" applyProtection="1">
      <alignment horizontal="center" vertical="center"/>
      <protection locked="0"/>
    </xf>
    <xf numFmtId="0" fontId="18" fillId="0" borderId="0" xfId="1" applyFont="1">
      <alignment vertical="center"/>
    </xf>
    <xf numFmtId="0" fontId="21" fillId="0" borderId="16" xfId="1" applyFont="1" applyBorder="1" applyAlignment="1">
      <alignment horizontal="right" vertical="center"/>
    </xf>
    <xf numFmtId="0" fontId="21" fillId="0" borderId="16" xfId="1" applyFont="1" applyBorder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0" fontId="18" fillId="0" borderId="17" xfId="1" applyFont="1" applyBorder="1">
      <alignment vertical="center"/>
    </xf>
    <xf numFmtId="0" fontId="18" fillId="0" borderId="16" xfId="1" applyFont="1" applyBorder="1">
      <alignment vertical="center"/>
    </xf>
    <xf numFmtId="0" fontId="21" fillId="0" borderId="16" xfId="1" applyFont="1" applyBorder="1" applyAlignment="1">
      <alignment horizontal="center" vertical="center" wrapText="1"/>
    </xf>
    <xf numFmtId="0" fontId="21" fillId="0" borderId="16" xfId="1" applyFont="1" applyBorder="1" applyAlignment="1">
      <alignment horizontal="right" vertical="center" wrapText="1"/>
    </xf>
    <xf numFmtId="0" fontId="21" fillId="0" borderId="16" xfId="1" applyFont="1" applyBorder="1" applyAlignment="1">
      <alignment horizontal="left" vertical="center" wrapText="1"/>
    </xf>
    <xf numFmtId="0" fontId="21" fillId="0" borderId="0" xfId="1" applyFont="1" applyAlignment="1">
      <alignment horizontal="left" vertical="center" wrapText="1"/>
    </xf>
    <xf numFmtId="0" fontId="21" fillId="0" borderId="12" xfId="1" applyFont="1" applyBorder="1" applyAlignment="1">
      <alignment horizontal="left" vertical="center" wrapText="1"/>
    </xf>
    <xf numFmtId="0" fontId="20" fillId="0" borderId="0" xfId="1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33" fillId="0" borderId="0" xfId="1" applyFont="1" applyAlignment="1">
      <alignment horizontal="left" vertical="center" wrapText="1"/>
    </xf>
    <xf numFmtId="0" fontId="22" fillId="0" borderId="0" xfId="2" applyFont="1" applyAlignment="1">
      <alignment vertical="center" wrapText="1"/>
    </xf>
    <xf numFmtId="0" fontId="22" fillId="0" borderId="18" xfId="2" applyFont="1" applyBorder="1" applyAlignment="1">
      <alignment vertical="center" wrapText="1"/>
    </xf>
    <xf numFmtId="0" fontId="24" fillId="0" borderId="0" xfId="2" applyFont="1" applyAlignment="1">
      <alignment vertical="center" wrapText="1"/>
    </xf>
    <xf numFmtId="0" fontId="24" fillId="0" borderId="19" xfId="2" applyFont="1" applyBorder="1" applyAlignment="1">
      <alignment horizontal="left" vertical="center" wrapText="1"/>
    </xf>
    <xf numFmtId="0" fontId="24" fillId="0" borderId="17" xfId="2" applyFont="1" applyBorder="1" applyAlignment="1">
      <alignment horizontal="left" vertical="center" wrapText="1"/>
    </xf>
    <xf numFmtId="0" fontId="24" fillId="0" borderId="20" xfId="2" applyFont="1" applyBorder="1" applyAlignment="1">
      <alignment horizontal="left" vertical="center" wrapText="1"/>
    </xf>
    <xf numFmtId="0" fontId="24" fillId="0" borderId="16" xfId="2" applyFont="1" applyBorder="1" applyAlignment="1">
      <alignment horizontal="left" vertical="center" wrapText="1"/>
    </xf>
    <xf numFmtId="0" fontId="24" fillId="0" borderId="21" xfId="2" applyFont="1" applyBorder="1" applyAlignment="1">
      <alignment horizontal="left" vertical="center" wrapText="1"/>
    </xf>
    <xf numFmtId="0" fontId="24" fillId="0" borderId="21" xfId="2" applyFont="1" applyBorder="1" applyAlignment="1">
      <alignment horizontal="left" vertical="center" wrapText="1"/>
    </xf>
    <xf numFmtId="0" fontId="24" fillId="0" borderId="16" xfId="2" applyFont="1" applyBorder="1" applyAlignment="1">
      <alignment horizontal="left" vertical="center" wrapText="1"/>
    </xf>
    <xf numFmtId="0" fontId="24" fillId="0" borderId="19" xfId="2" applyFont="1" applyBorder="1" applyAlignment="1">
      <alignment horizontal="center" vertical="center" wrapText="1"/>
    </xf>
    <xf numFmtId="0" fontId="24" fillId="0" borderId="20" xfId="2" applyFont="1" applyBorder="1" applyAlignment="1">
      <alignment horizontal="center" vertical="center" wrapText="1"/>
    </xf>
    <xf numFmtId="0" fontId="24" fillId="0" borderId="22" xfId="2" applyFont="1" applyBorder="1" applyAlignment="1">
      <alignment horizontal="left" vertical="center" wrapText="1"/>
    </xf>
    <xf numFmtId="0" fontId="34" fillId="2" borderId="23" xfId="2" applyFont="1" applyFill="1" applyBorder="1" applyAlignment="1">
      <alignment horizontal="center" vertical="center" wrapText="1"/>
    </xf>
    <xf numFmtId="0" fontId="34" fillId="2" borderId="24" xfId="2" applyFont="1" applyFill="1" applyBorder="1" applyAlignment="1">
      <alignment horizontal="center" vertical="center" wrapText="1"/>
    </xf>
    <xf numFmtId="0" fontId="24" fillId="0" borderId="24" xfId="2" applyFont="1" applyBorder="1" applyAlignment="1">
      <alignment horizontal="left" vertical="center" wrapText="1"/>
    </xf>
    <xf numFmtId="0" fontId="24" fillId="0" borderId="24" xfId="2" applyFont="1" applyBorder="1" applyAlignment="1">
      <alignment horizontal="center" vertical="center" wrapText="1"/>
    </xf>
    <xf numFmtId="0" fontId="24" fillId="2" borderId="25" xfId="2" applyFont="1" applyFill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4" fillId="0" borderId="27" xfId="2" applyFont="1" applyBorder="1" applyAlignment="1">
      <alignment horizontal="center" vertical="center" wrapText="1"/>
    </xf>
    <xf numFmtId="0" fontId="24" fillId="2" borderId="26" xfId="2" applyFont="1" applyFill="1" applyBorder="1" applyAlignment="1">
      <alignment horizontal="center" vertical="center" wrapText="1"/>
    </xf>
    <xf numFmtId="0" fontId="24" fillId="2" borderId="28" xfId="2" applyFont="1" applyFill="1" applyBorder="1" applyAlignment="1">
      <alignment horizontal="center" vertical="center" wrapText="1"/>
    </xf>
    <xf numFmtId="0" fontId="24" fillId="0" borderId="29" xfId="2" applyFont="1" applyBorder="1" applyAlignment="1">
      <alignment horizontal="center" vertical="center" wrapText="1"/>
    </xf>
    <xf numFmtId="0" fontId="24" fillId="0" borderId="28" xfId="2" applyFont="1" applyBorder="1" applyAlignment="1">
      <alignment horizontal="center" vertical="center" wrapText="1"/>
    </xf>
    <xf numFmtId="0" fontId="24" fillId="0" borderId="27" xfId="2" applyFont="1" applyBorder="1" applyAlignment="1">
      <alignment horizontal="left" vertical="center" wrapText="1"/>
    </xf>
    <xf numFmtId="0" fontId="24" fillId="0" borderId="27" xfId="2" applyFont="1" applyBorder="1" applyAlignment="1">
      <alignment vertical="center" wrapText="1"/>
    </xf>
    <xf numFmtId="0" fontId="24" fillId="0" borderId="27" xfId="2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0" fontId="24" fillId="0" borderId="0" xfId="2" applyFont="1" applyAlignment="1">
      <alignment horizontal="left" vertical="center" wrapText="1"/>
    </xf>
    <xf numFmtId="0" fontId="24" fillId="0" borderId="0" xfId="2" applyFont="1" applyAlignment="1">
      <alignment vertical="center" wrapText="1"/>
    </xf>
    <xf numFmtId="0" fontId="34" fillId="0" borderId="0" xfId="2" applyFont="1" applyAlignment="1">
      <alignment horizontal="center" vertical="center" wrapText="1"/>
    </xf>
    <xf numFmtId="0" fontId="35" fillId="0" borderId="0" xfId="2" applyFont="1" applyAlignment="1">
      <alignment horizontal="center" vertical="center" wrapText="1"/>
    </xf>
    <xf numFmtId="0" fontId="18" fillId="0" borderId="30" xfId="1" applyFont="1" applyBorder="1">
      <alignment vertical="center"/>
    </xf>
    <xf numFmtId="0" fontId="21" fillId="0" borderId="21" xfId="1" applyFont="1" applyBorder="1" applyAlignment="1">
      <alignment horizontal="center" vertical="center"/>
    </xf>
    <xf numFmtId="0" fontId="21" fillId="0" borderId="21" xfId="1" applyFont="1" applyBorder="1" applyAlignment="1">
      <alignment horizontal="center" vertical="center"/>
    </xf>
    <xf numFmtId="14" fontId="24" fillId="0" borderId="20" xfId="2" applyNumberFormat="1" applyFont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3" xfId="2" xr:uid="{774832E8-9DF8-4984-9E5C-4E9CF5EB0B44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008613209063199"/>
          <c:y val="7.6305935922322696E-2"/>
          <c:w val="0.80734522470405501"/>
          <c:h val="0.72441609199010104"/>
        </c:manualLayout>
      </c:layout>
      <c:barChart>
        <c:barDir val="col"/>
        <c:grouping val="clustered"/>
        <c:varyColors val="1"/>
        <c:ser>
          <c:idx val="1"/>
          <c:order val="0"/>
          <c:tx>
            <c:strRef>
              <c:f>临班150评价表!$B$8</c:f>
              <c:strCache>
                <c:ptCount val="1"/>
                <c:pt idx="0">
                  <c:v>人数</c:v>
                </c:pt>
              </c:strCache>
            </c:strRef>
          </c:tx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E2D-43E7-B99F-2B8FFF7890B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E2D-43E7-B99F-2B8FFF7890B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E2D-43E7-B99F-2B8FFF7890B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E2D-43E7-B99F-2B8FFF7890B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E2D-43E7-B99F-2B8FFF7890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临班150评价表!$C$6:$G$6</c:f>
              <c:strCache>
                <c:ptCount val="5"/>
                <c:pt idx="0">
                  <c:v> 0-59</c:v>
                </c:pt>
                <c:pt idx="1">
                  <c:v>60-69</c:v>
                </c:pt>
                <c:pt idx="2">
                  <c:v>70-79</c:v>
                </c:pt>
                <c:pt idx="3">
                  <c:v>80-89</c:v>
                </c:pt>
                <c:pt idx="4">
                  <c:v>90-100</c:v>
                </c:pt>
              </c:strCache>
            </c:strRef>
          </c:cat>
          <c:val>
            <c:numRef>
              <c:f>临班150评价表!$C$8:$G$8</c:f>
              <c:numCache>
                <c:formatCode>General</c:formatCode>
                <c:ptCount val="5"/>
                <c:pt idx="3">
                  <c:v>39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2D-43E7-B99F-2B8FFF7890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25438642"/>
        <c:axId val="911329778"/>
      </c:barChart>
      <c:catAx>
        <c:axId val="82543864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1329778"/>
        <c:crosses val="autoZero"/>
        <c:auto val="1"/>
        <c:lblAlgn val="ctr"/>
        <c:lblOffset val="100"/>
        <c:noMultiLvlLbl val="0"/>
      </c:catAx>
      <c:valAx>
        <c:axId val="9113297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>
              <a:innerShdw blurRad="63500" dist="50800" dir="8100000">
                <a:prstClr val="black">
                  <a:alpha val="50000"/>
                </a:prstClr>
              </a:innerShdw>
            </a:effectLst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5438642"/>
        <c:crosses val="autoZero"/>
        <c:crossBetween val="between"/>
      </c:valAx>
    </c:plotArea>
    <c:plotVisOnly val="1"/>
    <c:dispBlanksAs val="gap"/>
    <c:showDLblsOverMax val="0"/>
  </c:chart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</xdr:colOff>
      <xdr:row>2</xdr:row>
      <xdr:rowOff>8255</xdr:rowOff>
    </xdr:from>
    <xdr:to>
      <xdr:col>19</xdr:col>
      <xdr:colOff>8890</xdr:colOff>
      <xdr:row>9</xdr:row>
      <xdr:rowOff>8255</xdr:rowOff>
    </xdr:to>
    <xdr:graphicFrame macro="">
      <xdr:nvGraphicFramePr>
        <xdr:cNvPr id="2" name="图表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F26"/>
  <sheetViews>
    <sheetView tabSelected="1" view="pageBreakPreview" zoomScaleNormal="100" workbookViewId="0">
      <selection activeCell="D27" sqref="D27"/>
    </sheetView>
  </sheetViews>
  <sheetFormatPr defaultColWidth="9" defaultRowHeight="35" customHeight="1"/>
  <cols>
    <col min="1" max="1" width="10.08203125" style="21" customWidth="1"/>
    <col min="2" max="2" width="10.25" style="21" customWidth="1"/>
    <col min="3" max="3" width="10.08203125" style="21" customWidth="1"/>
    <col min="4" max="4" width="68.25" style="21" customWidth="1"/>
    <col min="5" max="5" width="10.25" style="21" customWidth="1"/>
    <col min="6" max="6" width="15.08203125" style="21" customWidth="1"/>
    <col min="7" max="251" width="8.75" style="21"/>
    <col min="252" max="16384" width="9" style="21"/>
  </cols>
  <sheetData>
    <row r="1" spans="1:6" ht="56.65" customHeight="1">
      <c r="A1" s="30" t="s">
        <v>0</v>
      </c>
      <c r="B1" s="31"/>
      <c r="C1" s="31"/>
      <c r="D1" s="22">
        <v>0.76</v>
      </c>
      <c r="E1" s="31" t="s">
        <v>1</v>
      </c>
      <c r="F1" s="32"/>
    </row>
    <row r="2" spans="1:6" ht="35" customHeight="1">
      <c r="A2" s="23" t="s">
        <v>2</v>
      </c>
      <c r="B2" s="33" t="s">
        <v>3</v>
      </c>
      <c r="C2" s="34"/>
      <c r="D2" s="23" t="s">
        <v>4</v>
      </c>
      <c r="E2" s="35" t="s">
        <v>290</v>
      </c>
      <c r="F2" s="36"/>
    </row>
    <row r="3" spans="1:6" ht="35" customHeight="1">
      <c r="A3" s="23" t="s">
        <v>5</v>
      </c>
      <c r="B3" s="37" t="s">
        <v>285</v>
      </c>
      <c r="C3" s="38"/>
      <c r="D3" s="23" t="s">
        <v>6</v>
      </c>
      <c r="E3" s="35" t="s">
        <v>7</v>
      </c>
      <c r="F3" s="36"/>
    </row>
    <row r="4" spans="1:6" ht="35" customHeight="1">
      <c r="A4" s="23" t="s">
        <v>8</v>
      </c>
      <c r="B4" s="25">
        <v>36</v>
      </c>
      <c r="C4" s="23" t="s">
        <v>9</v>
      </c>
      <c r="D4" s="39" t="s">
        <v>273</v>
      </c>
      <c r="E4" s="40"/>
      <c r="F4" s="41"/>
    </row>
    <row r="5" spans="1:6" ht="35" customHeight="1">
      <c r="A5" s="42" t="s">
        <v>10</v>
      </c>
      <c r="B5" s="43"/>
      <c r="C5" s="44"/>
      <c r="D5" s="39" t="s">
        <v>11</v>
      </c>
      <c r="E5" s="40"/>
      <c r="F5" s="41"/>
    </row>
    <row r="6" spans="1:6" ht="35" customHeight="1">
      <c r="A6" s="42" t="s">
        <v>12</v>
      </c>
      <c r="B6" s="43"/>
      <c r="C6" s="44"/>
      <c r="D6" s="39" t="s">
        <v>13</v>
      </c>
      <c r="E6" s="40"/>
      <c r="F6" s="41"/>
    </row>
    <row r="7" spans="1:6" ht="35" customHeight="1">
      <c r="A7" s="45" t="s">
        <v>14</v>
      </c>
      <c r="B7" s="45"/>
      <c r="C7" s="45"/>
      <c r="D7" s="45"/>
      <c r="E7" s="45"/>
      <c r="F7" s="45"/>
    </row>
    <row r="8" spans="1:6" ht="35" customHeight="1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23" t="s">
        <v>20</v>
      </c>
    </row>
    <row r="9" spans="1:6" ht="35" customHeight="1">
      <c r="A9" s="26" t="s">
        <v>21</v>
      </c>
      <c r="B9" s="24" t="s">
        <v>289</v>
      </c>
      <c r="C9" s="24">
        <v>2</v>
      </c>
      <c r="D9" s="27" t="s">
        <v>291</v>
      </c>
      <c r="E9" s="6">
        <v>1</v>
      </c>
      <c r="F9" s="28"/>
    </row>
    <row r="10" spans="1:6" ht="35" customHeight="1">
      <c r="A10" s="26" t="s">
        <v>22</v>
      </c>
      <c r="B10" s="24" t="s">
        <v>289</v>
      </c>
      <c r="C10" s="24">
        <v>2</v>
      </c>
      <c r="D10" s="27" t="s">
        <v>292</v>
      </c>
      <c r="E10" s="6">
        <v>1</v>
      </c>
      <c r="F10" s="28"/>
    </row>
    <row r="11" spans="1:6" ht="35" customHeight="1">
      <c r="A11" s="26" t="s">
        <v>23</v>
      </c>
      <c r="B11" s="24" t="s">
        <v>289</v>
      </c>
      <c r="C11" s="24">
        <v>2</v>
      </c>
      <c r="D11" s="29" t="s">
        <v>293</v>
      </c>
      <c r="E11" s="6">
        <v>1</v>
      </c>
      <c r="F11" s="28"/>
    </row>
    <row r="12" spans="1:6" ht="35" customHeight="1">
      <c r="A12" s="26" t="s">
        <v>24</v>
      </c>
      <c r="B12" s="24" t="s">
        <v>289</v>
      </c>
      <c r="C12" s="24">
        <v>2</v>
      </c>
      <c r="D12" s="27" t="s">
        <v>294</v>
      </c>
      <c r="E12" s="6">
        <v>1</v>
      </c>
      <c r="F12" s="28"/>
    </row>
    <row r="13" spans="1:6" ht="35" customHeight="1">
      <c r="A13" s="26" t="s">
        <v>25</v>
      </c>
      <c r="B13" s="24" t="s">
        <v>289</v>
      </c>
      <c r="C13" s="24">
        <v>2</v>
      </c>
      <c r="D13" s="27" t="s">
        <v>295</v>
      </c>
      <c r="E13" s="6">
        <v>1</v>
      </c>
      <c r="F13" s="28"/>
    </row>
    <row r="14" spans="1:6" ht="35" customHeight="1">
      <c r="A14" s="26" t="s">
        <v>26</v>
      </c>
      <c r="B14" s="24" t="s">
        <v>289</v>
      </c>
      <c r="C14" s="24">
        <v>2</v>
      </c>
      <c r="D14" s="27" t="s">
        <v>296</v>
      </c>
      <c r="E14" s="6">
        <v>1</v>
      </c>
      <c r="F14" s="28"/>
    </row>
    <row r="15" spans="1:6" ht="35" customHeight="1">
      <c r="A15" s="26" t="s">
        <v>27</v>
      </c>
      <c r="B15" s="24" t="s">
        <v>289</v>
      </c>
      <c r="C15" s="24">
        <v>2</v>
      </c>
      <c r="D15" s="27" t="s">
        <v>297</v>
      </c>
      <c r="E15" s="6">
        <v>1</v>
      </c>
      <c r="F15" s="28"/>
    </row>
    <row r="16" spans="1:6" ht="35" customHeight="1">
      <c r="A16" s="26" t="s">
        <v>28</v>
      </c>
      <c r="B16" s="24" t="s">
        <v>289</v>
      </c>
      <c r="C16" s="24">
        <v>2</v>
      </c>
      <c r="D16" s="27" t="s">
        <v>298</v>
      </c>
      <c r="E16" s="6">
        <v>1</v>
      </c>
      <c r="F16" s="28"/>
    </row>
    <row r="17" spans="1:6" ht="35" customHeight="1">
      <c r="A17" s="26" t="s">
        <v>29</v>
      </c>
      <c r="B17" s="24" t="s">
        <v>289</v>
      </c>
      <c r="C17" s="24">
        <v>2</v>
      </c>
      <c r="D17" s="27" t="s">
        <v>299</v>
      </c>
      <c r="E17" s="6">
        <v>1</v>
      </c>
      <c r="F17" s="28"/>
    </row>
    <row r="18" spans="1:6" ht="35" customHeight="1">
      <c r="A18" s="26" t="s">
        <v>30</v>
      </c>
      <c r="B18" s="24" t="s">
        <v>289</v>
      </c>
      <c r="C18" s="24">
        <v>2</v>
      </c>
      <c r="D18" s="27" t="s">
        <v>300</v>
      </c>
      <c r="E18" s="6">
        <v>1</v>
      </c>
      <c r="F18" s="28"/>
    </row>
    <row r="19" spans="1:6" ht="35" customHeight="1">
      <c r="A19" s="26" t="s">
        <v>31</v>
      </c>
      <c r="B19" s="24" t="s">
        <v>289</v>
      </c>
      <c r="C19" s="24">
        <v>2</v>
      </c>
      <c r="D19" s="27" t="s">
        <v>301</v>
      </c>
      <c r="E19" s="6">
        <v>1</v>
      </c>
      <c r="F19" s="28"/>
    </row>
    <row r="20" spans="1:6" ht="35" customHeight="1">
      <c r="A20" s="26" t="s">
        <v>32</v>
      </c>
      <c r="B20" s="24" t="s">
        <v>289</v>
      </c>
      <c r="C20" s="24">
        <v>2</v>
      </c>
      <c r="D20" s="27" t="s">
        <v>302</v>
      </c>
      <c r="E20" s="6">
        <v>1</v>
      </c>
      <c r="F20" s="28"/>
    </row>
    <row r="21" spans="1:6" ht="35" customHeight="1">
      <c r="A21" s="26" t="s">
        <v>33</v>
      </c>
      <c r="B21" s="24" t="s">
        <v>289</v>
      </c>
      <c r="C21" s="24">
        <v>2</v>
      </c>
      <c r="D21" s="27" t="s">
        <v>303</v>
      </c>
      <c r="E21" s="6">
        <v>1</v>
      </c>
      <c r="F21" s="28"/>
    </row>
    <row r="22" spans="1:6" ht="35" customHeight="1">
      <c r="A22" s="26" t="s">
        <v>34</v>
      </c>
      <c r="B22" s="24" t="s">
        <v>289</v>
      </c>
      <c r="C22" s="24">
        <v>2</v>
      </c>
      <c r="D22" s="27" t="s">
        <v>304</v>
      </c>
      <c r="E22" s="6">
        <v>1</v>
      </c>
      <c r="F22" s="28"/>
    </row>
    <row r="23" spans="1:6" ht="35" customHeight="1">
      <c r="A23" s="26" t="s">
        <v>35</v>
      </c>
      <c r="B23" s="24" t="s">
        <v>289</v>
      </c>
      <c r="C23" s="24">
        <v>2</v>
      </c>
      <c r="D23" s="27" t="s">
        <v>305</v>
      </c>
      <c r="E23" s="6">
        <v>1</v>
      </c>
      <c r="F23" s="28"/>
    </row>
    <row r="24" spans="1:6" ht="35" customHeight="1">
      <c r="A24" s="26" t="s">
        <v>36</v>
      </c>
      <c r="B24" s="24" t="s">
        <v>289</v>
      </c>
      <c r="C24" s="24">
        <v>2</v>
      </c>
      <c r="D24" s="27" t="s">
        <v>306</v>
      </c>
      <c r="E24" s="6">
        <v>1</v>
      </c>
      <c r="F24" s="28"/>
    </row>
    <row r="25" spans="1:6" ht="35" customHeight="1">
      <c r="A25" s="26" t="s">
        <v>37</v>
      </c>
      <c r="B25" s="24" t="s">
        <v>289</v>
      </c>
      <c r="C25" s="24">
        <v>2</v>
      </c>
      <c r="D25" s="27" t="s">
        <v>307</v>
      </c>
      <c r="E25" s="6">
        <v>1</v>
      </c>
      <c r="F25" s="28"/>
    </row>
    <row r="26" spans="1:6" ht="35" customHeight="1">
      <c r="A26" s="26" t="s">
        <v>38</v>
      </c>
      <c r="B26" s="24" t="s">
        <v>289</v>
      </c>
      <c r="C26" s="24">
        <v>2</v>
      </c>
      <c r="D26" s="27" t="s">
        <v>275</v>
      </c>
      <c r="E26" s="6">
        <v>1</v>
      </c>
      <c r="F26" s="28"/>
    </row>
  </sheetData>
  <sheetProtection sheet="1" objects="1"/>
  <mergeCells count="12">
    <mergeCell ref="A7:F7"/>
    <mergeCell ref="D4:F4"/>
    <mergeCell ref="A5:C5"/>
    <mergeCell ref="D5:F5"/>
    <mergeCell ref="A6:C6"/>
    <mergeCell ref="D6:F6"/>
    <mergeCell ref="A1:C1"/>
    <mergeCell ref="E1:F1"/>
    <mergeCell ref="B2:C2"/>
    <mergeCell ref="E2:F2"/>
    <mergeCell ref="B3:C3"/>
    <mergeCell ref="E3:F3"/>
  </mergeCells>
  <phoneticPr fontId="22" type="noConversion"/>
  <dataValidations count="1">
    <dataValidation type="list" allowBlank="1" showInputMessage="1" showErrorMessage="1" sqref="E1" xr:uid="{00000000-0002-0000-0000-000000000000}">
      <formula1>"文化传媒学院,外国语学院,马克思主义学院,教育科学学院,计算机科学学院,电子信息工程学院,化学与材料工程学院,体育学院,音乐学院,美术学院,经济管理学院,法学院,机械工程学院,生物与环境工程学院,食品科学与工程学院,建筑科学与工程学院,理学院"</formula1>
    </dataValidation>
  </dataValidations>
  <printOptions horizontalCentered="1"/>
  <pageMargins left="0.39305555555555599" right="0.39305555555555599" top="1.18055555555556" bottom="0.39305555555555599" header="0.78680555555555598" footer="0.27500000000000002"/>
  <pageSetup paperSize="9" scale="72" fitToHeight="0" orientation="portrait" r:id="rId1"/>
  <headerFooter>
    <oddHeader>&amp;C&amp;"方正小标宋简体"&amp;22贵阳学院课程教学进度表</oddHead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S21"/>
  <sheetViews>
    <sheetView showZeros="0" view="pageBreakPreview" zoomScaleNormal="100" workbookViewId="0">
      <selection activeCell="B2" sqref="B2:G2"/>
    </sheetView>
  </sheetViews>
  <sheetFormatPr defaultColWidth="9" defaultRowHeight="15"/>
  <cols>
    <col min="1" max="1" width="10.25" style="1" customWidth="1"/>
    <col min="2" max="19" width="5.6640625" style="1" customWidth="1"/>
    <col min="20" max="16384" width="9" style="1"/>
  </cols>
  <sheetData>
    <row r="1" spans="1:19" ht="29" customHeight="1">
      <c r="A1" s="46" t="s">
        <v>130</v>
      </c>
      <c r="B1" s="31"/>
      <c r="C1" s="31"/>
      <c r="D1" s="31"/>
      <c r="E1" s="31"/>
      <c r="F1" s="31"/>
      <c r="G1" s="31"/>
      <c r="H1" s="3">
        <v>0.82</v>
      </c>
      <c r="I1" s="2"/>
      <c r="K1" s="17"/>
      <c r="L1" s="31" t="s">
        <v>131</v>
      </c>
      <c r="M1" s="31"/>
      <c r="N1" s="31"/>
      <c r="O1" s="31"/>
      <c r="P1" s="47">
        <v>45669</v>
      </c>
      <c r="Q1" s="48"/>
      <c r="R1" s="48"/>
      <c r="S1" s="48"/>
    </row>
    <row r="2" spans="1:19" ht="28" customHeight="1">
      <c r="A2" s="4" t="s">
        <v>4</v>
      </c>
      <c r="B2" s="49" t="s">
        <v>286</v>
      </c>
      <c r="C2" s="50"/>
      <c r="D2" s="50"/>
      <c r="E2" s="50"/>
      <c r="F2" s="50"/>
      <c r="G2" s="51"/>
      <c r="H2" s="42" t="s">
        <v>132</v>
      </c>
      <c r="I2" s="52"/>
      <c r="J2" s="53">
        <v>36</v>
      </c>
      <c r="K2" s="53"/>
      <c r="L2" s="54" t="s">
        <v>133</v>
      </c>
      <c r="M2" s="54"/>
      <c r="N2" s="54"/>
      <c r="O2" s="54"/>
      <c r="P2" s="49" t="s">
        <v>1</v>
      </c>
      <c r="Q2" s="50"/>
      <c r="R2" s="50"/>
      <c r="S2" s="51"/>
    </row>
    <row r="3" spans="1:19" ht="28" customHeight="1">
      <c r="A3" s="5" t="s">
        <v>134</v>
      </c>
      <c r="B3" s="4" t="s">
        <v>135</v>
      </c>
      <c r="C3" s="6"/>
      <c r="D3" s="4" t="s">
        <v>136</v>
      </c>
      <c r="E3" s="6" t="s">
        <v>137</v>
      </c>
      <c r="F3" s="4" t="s">
        <v>138</v>
      </c>
      <c r="G3" s="6"/>
      <c r="H3" s="55" t="s">
        <v>2</v>
      </c>
      <c r="I3" s="55"/>
      <c r="J3" s="56" t="s">
        <v>3</v>
      </c>
      <c r="K3" s="57"/>
      <c r="L3" s="85"/>
      <c r="M3" s="86"/>
      <c r="N3" s="86"/>
      <c r="O3" s="86"/>
      <c r="P3" s="86"/>
      <c r="Q3" s="86"/>
      <c r="R3" s="86"/>
      <c r="S3" s="87"/>
    </row>
    <row r="4" spans="1:19" ht="30">
      <c r="A4" s="7" t="s">
        <v>139</v>
      </c>
      <c r="B4" s="49" t="s">
        <v>1</v>
      </c>
      <c r="C4" s="50"/>
      <c r="D4" s="50"/>
      <c r="E4" s="50"/>
      <c r="F4" s="50"/>
      <c r="G4" s="51"/>
      <c r="H4" s="8" t="s">
        <v>140</v>
      </c>
      <c r="I4" s="8" t="s">
        <v>141</v>
      </c>
      <c r="J4" s="8" t="s">
        <v>117</v>
      </c>
      <c r="K4" s="8" t="s">
        <v>116</v>
      </c>
      <c r="L4" s="86"/>
      <c r="M4" s="86"/>
      <c r="N4" s="86"/>
      <c r="O4" s="86"/>
      <c r="P4" s="86"/>
      <c r="Q4" s="86"/>
      <c r="R4" s="86"/>
      <c r="S4" s="87"/>
    </row>
    <row r="5" spans="1:19" ht="28" customHeight="1">
      <c r="A5" s="4" t="s">
        <v>142</v>
      </c>
      <c r="B5" s="58" t="s">
        <v>285</v>
      </c>
      <c r="C5" s="59"/>
      <c r="D5" s="59"/>
      <c r="E5" s="59"/>
      <c r="F5" s="59"/>
      <c r="G5" s="59"/>
      <c r="H5" s="10">
        <f>SUM($I$5:$K$5)</f>
        <v>40</v>
      </c>
      <c r="I5" s="10">
        <f>SUM($C$8:$G$8)</f>
        <v>40</v>
      </c>
      <c r="J5" s="9"/>
      <c r="K5" s="9"/>
      <c r="L5" s="85"/>
      <c r="M5" s="86"/>
      <c r="N5" s="86"/>
      <c r="O5" s="86"/>
      <c r="P5" s="86"/>
      <c r="Q5" s="86"/>
      <c r="R5" s="86"/>
      <c r="S5" s="87"/>
    </row>
    <row r="6" spans="1:19" ht="28" customHeight="1">
      <c r="A6" s="77" t="s">
        <v>143</v>
      </c>
      <c r="B6" s="84" t="s">
        <v>110</v>
      </c>
      <c r="C6" s="77" t="s">
        <v>144</v>
      </c>
      <c r="D6" s="77" t="s">
        <v>145</v>
      </c>
      <c r="E6" s="77" t="s">
        <v>146</v>
      </c>
      <c r="F6" s="77" t="s">
        <v>147</v>
      </c>
      <c r="G6" s="77" t="s">
        <v>148</v>
      </c>
      <c r="H6" s="60" t="s">
        <v>149</v>
      </c>
      <c r="I6" s="52"/>
      <c r="J6" s="49">
        <v>90</v>
      </c>
      <c r="K6" s="50"/>
      <c r="L6" s="85"/>
      <c r="M6" s="86"/>
      <c r="N6" s="86"/>
      <c r="O6" s="86"/>
      <c r="P6" s="86"/>
      <c r="Q6" s="86"/>
      <c r="R6" s="86"/>
      <c r="S6" s="87"/>
    </row>
    <row r="7" spans="1:19" ht="28" customHeight="1">
      <c r="A7" s="78"/>
      <c r="B7" s="84"/>
      <c r="C7" s="79"/>
      <c r="D7" s="79"/>
      <c r="E7" s="79"/>
      <c r="F7" s="79"/>
      <c r="G7" s="79"/>
      <c r="H7" s="60" t="s">
        <v>150</v>
      </c>
      <c r="I7" s="52"/>
      <c r="J7" s="49">
        <v>84</v>
      </c>
      <c r="K7" s="50"/>
      <c r="L7" s="85"/>
      <c r="M7" s="86"/>
      <c r="N7" s="86"/>
      <c r="O7" s="86"/>
      <c r="P7" s="86"/>
      <c r="Q7" s="86"/>
      <c r="R7" s="86"/>
      <c r="S7" s="87"/>
    </row>
    <row r="8" spans="1:19" ht="28" customHeight="1">
      <c r="A8" s="78"/>
      <c r="B8" s="11" t="s">
        <v>151</v>
      </c>
      <c r="C8" s="12"/>
      <c r="D8" s="12"/>
      <c r="E8" s="4"/>
      <c r="F8" s="4">
        <v>39</v>
      </c>
      <c r="G8" s="4">
        <v>1</v>
      </c>
      <c r="H8" s="60" t="s">
        <v>152</v>
      </c>
      <c r="I8" s="52"/>
      <c r="J8" s="49">
        <v>85.25</v>
      </c>
      <c r="K8" s="50"/>
      <c r="L8" s="85"/>
      <c r="M8" s="86"/>
      <c r="N8" s="86"/>
      <c r="O8" s="86"/>
      <c r="P8" s="86"/>
      <c r="Q8" s="86"/>
      <c r="R8" s="86"/>
      <c r="S8" s="87"/>
    </row>
    <row r="9" spans="1:19" ht="28" customHeight="1">
      <c r="A9" s="79"/>
      <c r="B9" s="11" t="s">
        <v>153</v>
      </c>
      <c r="C9" s="13">
        <f>C$8/$I$5</f>
        <v>0</v>
      </c>
      <c r="D9" s="13">
        <f>D$8/$I$5</f>
        <v>0</v>
      </c>
      <c r="E9" s="13">
        <f>E$8/$I$5</f>
        <v>0</v>
      </c>
      <c r="F9" s="13">
        <f>F$8/$I$5</f>
        <v>0.97499999999999998</v>
      </c>
      <c r="G9" s="13">
        <f>G$8/$I$5</f>
        <v>2.5000000000000001E-2</v>
      </c>
      <c r="H9" s="60" t="s">
        <v>154</v>
      </c>
      <c r="I9" s="61"/>
      <c r="J9" s="49" t="s">
        <v>270</v>
      </c>
      <c r="K9" s="51"/>
      <c r="L9" s="88"/>
      <c r="M9" s="89"/>
      <c r="N9" s="89"/>
      <c r="O9" s="89"/>
      <c r="P9" s="89"/>
      <c r="Q9" s="89"/>
      <c r="R9" s="89"/>
      <c r="S9" s="90"/>
    </row>
    <row r="10" spans="1:19" ht="121">
      <c r="A10" s="14" t="s">
        <v>155</v>
      </c>
      <c r="B10" s="62" t="s">
        <v>271</v>
      </c>
      <c r="C10" s="63"/>
      <c r="D10" s="63"/>
      <c r="E10" s="63"/>
      <c r="F10" s="63"/>
      <c r="G10" s="63"/>
      <c r="H10" s="63"/>
      <c r="I10" s="63"/>
      <c r="J10" s="63"/>
      <c r="K10" s="63"/>
      <c r="L10" s="64"/>
      <c r="M10" s="64"/>
      <c r="N10" s="64"/>
      <c r="O10" s="64"/>
      <c r="P10" s="64"/>
      <c r="Q10" s="64"/>
      <c r="R10" s="64"/>
      <c r="S10" s="64"/>
    </row>
    <row r="11" spans="1:19" ht="28" customHeight="1">
      <c r="A11" s="80" t="s">
        <v>274</v>
      </c>
      <c r="B11" s="52" t="s">
        <v>156</v>
      </c>
      <c r="C11" s="54"/>
      <c r="D11" s="54"/>
      <c r="E11" s="54"/>
      <c r="F11" s="54" t="s">
        <v>157</v>
      </c>
      <c r="G11" s="54"/>
      <c r="H11" s="54"/>
      <c r="I11" s="54"/>
      <c r="J11" s="54"/>
      <c r="K11" s="54"/>
      <c r="L11" s="54" t="s">
        <v>158</v>
      </c>
      <c r="M11" s="54"/>
      <c r="N11" s="54"/>
      <c r="O11" s="54"/>
      <c r="P11" s="54"/>
      <c r="Q11" s="54"/>
      <c r="R11" s="54"/>
      <c r="S11" s="54"/>
    </row>
    <row r="12" spans="1:19" ht="28" customHeight="1">
      <c r="A12" s="81"/>
      <c r="B12" s="15" t="s">
        <v>159</v>
      </c>
      <c r="C12" s="4"/>
      <c r="D12" s="4" t="s">
        <v>160</v>
      </c>
      <c r="E12" s="4" t="s">
        <v>137</v>
      </c>
      <c r="F12" s="4" t="s">
        <v>161</v>
      </c>
      <c r="G12" s="4" t="s">
        <v>137</v>
      </c>
      <c r="H12" s="4" t="s">
        <v>162</v>
      </c>
      <c r="I12" s="4"/>
      <c r="J12" s="4" t="s">
        <v>163</v>
      </c>
      <c r="K12" s="4"/>
      <c r="L12" s="4" t="s">
        <v>164</v>
      </c>
      <c r="M12" s="4"/>
      <c r="N12" s="4" t="s">
        <v>165</v>
      </c>
      <c r="O12" s="4" t="s">
        <v>137</v>
      </c>
      <c r="P12" s="4" t="s">
        <v>166</v>
      </c>
      <c r="Q12" s="4"/>
      <c r="R12" s="4" t="s">
        <v>167</v>
      </c>
      <c r="S12" s="4"/>
    </row>
    <row r="13" spans="1:19" ht="28" customHeight="1">
      <c r="A13" s="81"/>
      <c r="B13" s="65" t="s">
        <v>168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6"/>
    </row>
    <row r="14" spans="1:19" ht="141" customHeight="1">
      <c r="A14" s="82"/>
      <c r="B14" s="67" t="s">
        <v>287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8"/>
    </row>
    <row r="15" spans="1:19" ht="28" customHeight="1">
      <c r="A15" s="80" t="s">
        <v>272</v>
      </c>
      <c r="B15" s="65" t="s">
        <v>169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6"/>
    </row>
    <row r="16" spans="1:19" ht="141" customHeight="1">
      <c r="A16" s="83"/>
      <c r="B16" s="67" t="s">
        <v>288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8"/>
    </row>
    <row r="17" spans="1:19" ht="28" customHeight="1">
      <c r="A17" s="69" t="s">
        <v>170</v>
      </c>
      <c r="B17" s="61"/>
      <c r="C17" s="61"/>
      <c r="D17" s="70" t="s">
        <v>3</v>
      </c>
      <c r="E17" s="71"/>
      <c r="F17" s="71"/>
      <c r="G17" s="72"/>
      <c r="H17" s="73">
        <v>45717</v>
      </c>
      <c r="I17" s="73"/>
      <c r="J17" s="73"/>
      <c r="K17" s="74"/>
      <c r="L17" s="60" t="s">
        <v>171</v>
      </c>
      <c r="M17" s="61"/>
      <c r="N17" s="61"/>
      <c r="O17" s="52"/>
      <c r="P17" s="18"/>
      <c r="Q17" s="19"/>
      <c r="R17" s="19"/>
      <c r="S17" s="20"/>
    </row>
    <row r="18" spans="1:19" ht="34" customHeight="1">
      <c r="A18" s="75" t="s">
        <v>172</v>
      </c>
      <c r="B18" s="65"/>
      <c r="C18" s="65"/>
      <c r="D18" s="76"/>
      <c r="E18" s="76"/>
      <c r="F18" s="76"/>
      <c r="G18" s="76"/>
      <c r="H18" s="76"/>
      <c r="I18" s="76"/>
      <c r="J18" s="76"/>
      <c r="K18" s="76"/>
      <c r="L18" s="65"/>
      <c r="M18" s="65"/>
      <c r="N18" s="65"/>
      <c r="O18" s="65"/>
      <c r="P18" s="65"/>
      <c r="Q18" s="65"/>
      <c r="R18" s="65"/>
      <c r="S18" s="65"/>
    </row>
    <row r="21" spans="1:19">
      <c r="H21" s="16"/>
    </row>
  </sheetData>
  <mergeCells count="43">
    <mergeCell ref="A18:S18"/>
    <mergeCell ref="A6:A9"/>
    <mergeCell ref="A11:A14"/>
    <mergeCell ref="A15:A16"/>
    <mergeCell ref="B6:B7"/>
    <mergeCell ref="C6:C7"/>
    <mergeCell ref="D6:D7"/>
    <mergeCell ref="E6:E7"/>
    <mergeCell ref="F6:F7"/>
    <mergeCell ref="G6:G7"/>
    <mergeCell ref="L3:S9"/>
    <mergeCell ref="B14:S14"/>
    <mergeCell ref="B15:S15"/>
    <mergeCell ref="B16:S16"/>
    <mergeCell ref="A17:C17"/>
    <mergeCell ref="D17:G17"/>
    <mergeCell ref="H17:K17"/>
    <mergeCell ref="L17:O17"/>
    <mergeCell ref="B10:S10"/>
    <mergeCell ref="B11:E11"/>
    <mergeCell ref="F11:K11"/>
    <mergeCell ref="L11:S11"/>
    <mergeCell ref="B13:S13"/>
    <mergeCell ref="H7:I7"/>
    <mergeCell ref="J7:K7"/>
    <mergeCell ref="H8:I8"/>
    <mergeCell ref="J8:K8"/>
    <mergeCell ref="H9:I9"/>
    <mergeCell ref="J9:K9"/>
    <mergeCell ref="H3:I3"/>
    <mergeCell ref="J3:K3"/>
    <mergeCell ref="B4:G4"/>
    <mergeCell ref="B5:G5"/>
    <mergeCell ref="H6:I6"/>
    <mergeCell ref="J6:K6"/>
    <mergeCell ref="A1:G1"/>
    <mergeCell ref="L1:O1"/>
    <mergeCell ref="P1:S1"/>
    <mergeCell ref="B2:G2"/>
    <mergeCell ref="H2:I2"/>
    <mergeCell ref="J2:K2"/>
    <mergeCell ref="L2:O2"/>
    <mergeCell ref="P2:S2"/>
  </mergeCells>
  <phoneticPr fontId="22" type="noConversion"/>
  <dataValidations count="8">
    <dataValidation type="list" allowBlank="1" showInputMessage="1" showErrorMessage="1" sqref="P2:Q2 B4:G4" xr:uid="{00000000-0002-0000-0300-000000000000}">
      <formula1>"文化传媒学院,外国语学院,马克思主义学院,教育科学学院,计算机科学学院,电子信息工程学院,化学与材料工程学院,体育学院,音乐学院,美术学院,经济管理学院,法学院,机械工程学院,生物与环境工程学院,食品科学与工程学院,建筑科学与工程学院,理学院"</formula1>
    </dataValidation>
    <dataValidation type="list" allowBlank="1" showInputMessage="1" showErrorMessage="1" sqref="C3 E3 G3 C12 E12 G12 I12 K12 M12 O12 Q12 S12" xr:uid="{00000000-0002-0000-0300-000001000000}">
      <formula1>"※"</formula1>
    </dataValidation>
    <dataValidation showInputMessage="1" showErrorMessage="1" promptTitle="=SUM(I5:K5)" prompt="任课班级人数" sqref="H5" xr:uid="{00000000-0002-0000-0300-000002000000}"/>
    <dataValidation allowBlank="1" showInputMessage="1" showErrorMessage="1" promptTitle="=SUM(C8:G8)" prompt=" " sqref="I5" xr:uid="{00000000-0002-0000-0300-000003000000}"/>
    <dataValidation type="whole" errorStyle="information" operator="greaterThanOrEqual" allowBlank="1" showInputMessage="1" showErrorMessage="1" errorTitle="缺考和缓考学生人数" error="应为≥1的整数" sqref="J5:K5" xr:uid="{00000000-0002-0000-0300-000004000000}">
      <formula1>1</formula1>
    </dataValidation>
    <dataValidation type="whole" operator="greaterThanOrEqual" showInputMessage="1" showErrorMessage="1" errorTitle="各分数段人数" error="应为≥1的整数" sqref="C8:G8" xr:uid="{00000000-0002-0000-0300-000005000000}">
      <formula1>1</formula1>
    </dataValidation>
    <dataValidation type="list" allowBlank="1" showInputMessage="1" showErrorMessage="1" sqref="J9:K9" xr:uid="{00000000-0002-0000-0300-000006000000}">
      <formula1>"公共必修,专业必修,公共选修,专业选修"</formula1>
    </dataValidation>
    <dataValidation type="decimal" showInputMessage="1" showErrorMessage="1" sqref="J6:K8" xr:uid="{00000000-0002-0000-0300-000007000000}">
      <formula1>0</formula1>
      <formula2>100</formula2>
    </dataValidation>
  </dataValidations>
  <printOptions horizontalCentered="1"/>
  <pageMargins left="0.39305555555555599" right="0.39305555555555599" top="1.18055555555556" bottom="0.39305555555555599" header="0.78680555555555598" footer="0.27500000000000002"/>
  <pageSetup paperSize="9" scale="80" fitToHeight="0" orientation="portrait" r:id="rId1"/>
  <headerFooter alignWithMargins="0">
    <oddHeader>&amp;C&amp;"方正小标宋简体"&amp;24贵阳学院课程考核结果评价表（非试卷类）</oddHeader>
    <oddFooter>&amp;C第 &amp;P 页，共 &amp;N 页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FCF9-00C5-4CAA-B20B-46D7755FD176}">
  <dimension ref="A1:N55"/>
  <sheetViews>
    <sheetView showGridLines="0" topLeftCell="A33" zoomScaleNormal="100" zoomScaleSheetLayoutView="100" workbookViewId="0">
      <selection activeCell="A4" sqref="A4:N4"/>
    </sheetView>
  </sheetViews>
  <sheetFormatPr defaultColWidth="9" defaultRowHeight="14"/>
  <cols>
    <col min="1" max="1" width="6.58203125" style="91" customWidth="1"/>
    <col min="2" max="2" width="14" style="91" customWidth="1"/>
    <col min="3" max="3" width="6.25" style="91" customWidth="1"/>
    <col min="4" max="12" width="5.58203125" style="91" customWidth="1"/>
    <col min="13" max="14" width="5.08203125" style="91" customWidth="1"/>
    <col min="15" max="187" width="9" style="91" customWidth="1"/>
    <col min="188" max="16384" width="9" style="91"/>
  </cols>
  <sheetData>
    <row r="1" spans="1:14" ht="22.5" customHeight="1">
      <c r="A1" s="106" t="s">
        <v>91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4" ht="15" customHeight="1">
      <c r="A2" s="105" t="s">
        <v>254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4" ht="15" customHeight="1">
      <c r="A3" s="107" t="s">
        <v>284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</row>
    <row r="4" spans="1:14" ht="15" customHeight="1">
      <c r="A4" s="107" t="s">
        <v>282</v>
      </c>
      <c r="B4" s="104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</row>
    <row r="5" spans="1:14" ht="15" customHeight="1">
      <c r="A5" s="94" t="s">
        <v>39</v>
      </c>
      <c r="B5" s="94" t="s">
        <v>40</v>
      </c>
      <c r="C5" s="94" t="s">
        <v>41</v>
      </c>
      <c r="D5" s="94" t="s">
        <v>92</v>
      </c>
      <c r="E5" s="142" t="s">
        <v>93</v>
      </c>
      <c r="F5" s="94" t="s">
        <v>94</v>
      </c>
      <c r="G5" s="94"/>
      <c r="H5" s="94"/>
      <c r="I5" s="94"/>
      <c r="J5" s="94"/>
      <c r="K5" s="94"/>
      <c r="L5" s="94"/>
      <c r="M5" s="93" t="s">
        <v>95</v>
      </c>
      <c r="N5" s="94" t="s">
        <v>43</v>
      </c>
    </row>
    <row r="6" spans="1:14">
      <c r="A6" s="94"/>
      <c r="B6" s="94"/>
      <c r="C6" s="94"/>
      <c r="D6" s="94"/>
      <c r="E6" s="95" t="s">
        <v>96</v>
      </c>
      <c r="F6" s="93" t="s">
        <v>97</v>
      </c>
      <c r="G6" s="93" t="s">
        <v>98</v>
      </c>
      <c r="H6" s="93" t="s">
        <v>99</v>
      </c>
      <c r="I6" s="93" t="s">
        <v>100</v>
      </c>
      <c r="J6" s="93" t="s">
        <v>101</v>
      </c>
      <c r="K6" s="93" t="s">
        <v>102</v>
      </c>
      <c r="L6" s="93" t="s">
        <v>103</v>
      </c>
      <c r="M6" s="93" t="s">
        <v>104</v>
      </c>
      <c r="N6" s="94"/>
    </row>
    <row r="7" spans="1:14">
      <c r="A7" s="93" t="s">
        <v>44</v>
      </c>
      <c r="B7" s="100" t="s">
        <v>253</v>
      </c>
      <c r="C7" s="102" t="s">
        <v>252</v>
      </c>
      <c r="D7" s="100" t="s">
        <v>105</v>
      </c>
      <c r="E7" s="100" t="s">
        <v>106</v>
      </c>
      <c r="F7" s="101" t="s">
        <v>107</v>
      </c>
      <c r="G7" s="101" t="s">
        <v>107</v>
      </c>
      <c r="H7" s="101" t="s">
        <v>107</v>
      </c>
      <c r="I7" s="99" t="s">
        <v>107</v>
      </c>
      <c r="J7" s="101" t="s">
        <v>107</v>
      </c>
      <c r="K7" s="101" t="s">
        <v>80</v>
      </c>
      <c r="L7" s="101" t="s">
        <v>80</v>
      </c>
      <c r="M7" s="100" t="s">
        <v>108</v>
      </c>
      <c r="N7" s="99"/>
    </row>
    <row r="8" spans="1:14">
      <c r="A8" s="93" t="s">
        <v>46</v>
      </c>
      <c r="B8" s="100" t="s">
        <v>251</v>
      </c>
      <c r="C8" s="102" t="s">
        <v>250</v>
      </c>
      <c r="D8" s="100" t="s">
        <v>109</v>
      </c>
      <c r="E8" s="100" t="s">
        <v>106</v>
      </c>
      <c r="F8" s="101" t="s">
        <v>107</v>
      </c>
      <c r="G8" s="101" t="s">
        <v>107</v>
      </c>
      <c r="H8" s="101" t="s">
        <v>107</v>
      </c>
      <c r="I8" s="99" t="s">
        <v>107</v>
      </c>
      <c r="J8" s="101" t="s">
        <v>107</v>
      </c>
      <c r="K8" s="101" t="s">
        <v>50</v>
      </c>
      <c r="L8" s="101" t="s">
        <v>50</v>
      </c>
      <c r="M8" s="100" t="s">
        <v>108</v>
      </c>
      <c r="N8" s="99"/>
    </row>
    <row r="9" spans="1:14">
      <c r="A9" s="93" t="s">
        <v>48</v>
      </c>
      <c r="B9" s="100" t="s">
        <v>249</v>
      </c>
      <c r="C9" s="102" t="s">
        <v>248</v>
      </c>
      <c r="D9" s="100" t="s">
        <v>109</v>
      </c>
      <c r="E9" s="100" t="s">
        <v>106</v>
      </c>
      <c r="F9" s="101" t="s">
        <v>107</v>
      </c>
      <c r="G9" s="101" t="s">
        <v>107</v>
      </c>
      <c r="H9" s="101" t="s">
        <v>107</v>
      </c>
      <c r="I9" s="99" t="s">
        <v>107</v>
      </c>
      <c r="J9" s="101" t="s">
        <v>107</v>
      </c>
      <c r="K9" s="101" t="s">
        <v>45</v>
      </c>
      <c r="L9" s="101" t="s">
        <v>45</v>
      </c>
      <c r="M9" s="100" t="s">
        <v>108</v>
      </c>
      <c r="N9" s="99"/>
    </row>
    <row r="10" spans="1:14">
      <c r="A10" s="93" t="s">
        <v>49</v>
      </c>
      <c r="B10" s="100" t="s">
        <v>247</v>
      </c>
      <c r="C10" s="102" t="s">
        <v>246</v>
      </c>
      <c r="D10" s="100" t="s">
        <v>109</v>
      </c>
      <c r="E10" s="100" t="s">
        <v>106</v>
      </c>
      <c r="F10" s="101" t="s">
        <v>107</v>
      </c>
      <c r="G10" s="101" t="s">
        <v>107</v>
      </c>
      <c r="H10" s="101" t="s">
        <v>107</v>
      </c>
      <c r="I10" s="99" t="s">
        <v>107</v>
      </c>
      <c r="J10" s="101" t="s">
        <v>107</v>
      </c>
      <c r="K10" s="101" t="s">
        <v>47</v>
      </c>
      <c r="L10" s="101" t="s">
        <v>47</v>
      </c>
      <c r="M10" s="100" t="s">
        <v>108</v>
      </c>
      <c r="N10" s="99"/>
    </row>
    <row r="11" spans="1:14">
      <c r="A11" s="93" t="s">
        <v>51</v>
      </c>
      <c r="B11" s="100" t="s">
        <v>245</v>
      </c>
      <c r="C11" s="102" t="s">
        <v>244</v>
      </c>
      <c r="D11" s="100" t="s">
        <v>109</v>
      </c>
      <c r="E11" s="100" t="s">
        <v>106</v>
      </c>
      <c r="F11" s="101" t="s">
        <v>107</v>
      </c>
      <c r="G11" s="101" t="s">
        <v>107</v>
      </c>
      <c r="H11" s="101" t="s">
        <v>107</v>
      </c>
      <c r="I11" s="99" t="s">
        <v>107</v>
      </c>
      <c r="J11" s="101" t="s">
        <v>107</v>
      </c>
      <c r="K11" s="101" t="s">
        <v>80</v>
      </c>
      <c r="L11" s="101" t="s">
        <v>80</v>
      </c>
      <c r="M11" s="100" t="s">
        <v>108</v>
      </c>
      <c r="N11" s="99"/>
    </row>
    <row r="12" spans="1:14">
      <c r="A12" s="93" t="s">
        <v>52</v>
      </c>
      <c r="B12" s="100" t="s">
        <v>243</v>
      </c>
      <c r="C12" s="102" t="s">
        <v>242</v>
      </c>
      <c r="D12" s="100" t="s">
        <v>109</v>
      </c>
      <c r="E12" s="100" t="s">
        <v>106</v>
      </c>
      <c r="F12" s="101" t="s">
        <v>107</v>
      </c>
      <c r="G12" s="101" t="s">
        <v>107</v>
      </c>
      <c r="H12" s="101" t="s">
        <v>107</v>
      </c>
      <c r="I12" s="99" t="s">
        <v>107</v>
      </c>
      <c r="J12" s="101" t="s">
        <v>107</v>
      </c>
      <c r="K12" s="101" t="s">
        <v>47</v>
      </c>
      <c r="L12" s="101" t="s">
        <v>47</v>
      </c>
      <c r="M12" s="100" t="s">
        <v>108</v>
      </c>
      <c r="N12" s="99"/>
    </row>
    <row r="13" spans="1:14">
      <c r="A13" s="93" t="s">
        <v>53</v>
      </c>
      <c r="B13" s="100" t="s">
        <v>241</v>
      </c>
      <c r="C13" s="102" t="s">
        <v>240</v>
      </c>
      <c r="D13" s="100" t="s">
        <v>105</v>
      </c>
      <c r="E13" s="100" t="s">
        <v>106</v>
      </c>
      <c r="F13" s="101" t="s">
        <v>107</v>
      </c>
      <c r="G13" s="101" t="s">
        <v>107</v>
      </c>
      <c r="H13" s="101" t="s">
        <v>107</v>
      </c>
      <c r="I13" s="99" t="s">
        <v>107</v>
      </c>
      <c r="J13" s="101" t="s">
        <v>107</v>
      </c>
      <c r="K13" s="101" t="s">
        <v>57</v>
      </c>
      <c r="L13" s="101" t="s">
        <v>57</v>
      </c>
      <c r="M13" s="100" t="s">
        <v>108</v>
      </c>
      <c r="N13" s="99"/>
    </row>
    <row r="14" spans="1:14">
      <c r="A14" s="93" t="s">
        <v>54</v>
      </c>
      <c r="B14" s="100" t="s">
        <v>239</v>
      </c>
      <c r="C14" s="102" t="s">
        <v>238</v>
      </c>
      <c r="D14" s="100" t="s">
        <v>109</v>
      </c>
      <c r="E14" s="100" t="s">
        <v>106</v>
      </c>
      <c r="F14" s="101" t="s">
        <v>107</v>
      </c>
      <c r="G14" s="101" t="s">
        <v>107</v>
      </c>
      <c r="H14" s="101" t="s">
        <v>107</v>
      </c>
      <c r="I14" s="99" t="s">
        <v>107</v>
      </c>
      <c r="J14" s="101" t="s">
        <v>107</v>
      </c>
      <c r="K14" s="101" t="s">
        <v>50</v>
      </c>
      <c r="L14" s="101" t="s">
        <v>50</v>
      </c>
      <c r="M14" s="100" t="s">
        <v>108</v>
      </c>
      <c r="N14" s="99"/>
    </row>
    <row r="15" spans="1:14">
      <c r="A15" s="93" t="s">
        <v>56</v>
      </c>
      <c r="B15" s="100" t="s">
        <v>237</v>
      </c>
      <c r="C15" s="102" t="s">
        <v>236</v>
      </c>
      <c r="D15" s="100" t="s">
        <v>109</v>
      </c>
      <c r="E15" s="100" t="s">
        <v>106</v>
      </c>
      <c r="F15" s="101" t="s">
        <v>107</v>
      </c>
      <c r="G15" s="101" t="s">
        <v>107</v>
      </c>
      <c r="H15" s="101" t="s">
        <v>107</v>
      </c>
      <c r="I15" s="99" t="s">
        <v>107</v>
      </c>
      <c r="J15" s="101" t="s">
        <v>107</v>
      </c>
      <c r="K15" s="101" t="s">
        <v>45</v>
      </c>
      <c r="L15" s="101" t="s">
        <v>45</v>
      </c>
      <c r="M15" s="100" t="s">
        <v>108</v>
      </c>
      <c r="N15" s="99"/>
    </row>
    <row r="16" spans="1:14">
      <c r="A16" s="93" t="s">
        <v>30</v>
      </c>
      <c r="B16" s="100" t="s">
        <v>235</v>
      </c>
      <c r="C16" s="102" t="s">
        <v>234</v>
      </c>
      <c r="D16" s="100" t="s">
        <v>109</v>
      </c>
      <c r="E16" s="100" t="s">
        <v>106</v>
      </c>
      <c r="F16" s="101" t="s">
        <v>107</v>
      </c>
      <c r="G16" s="101" t="s">
        <v>107</v>
      </c>
      <c r="H16" s="101" t="s">
        <v>107</v>
      </c>
      <c r="I16" s="99" t="s">
        <v>107</v>
      </c>
      <c r="J16" s="101" t="s">
        <v>107</v>
      </c>
      <c r="K16" s="101" t="s">
        <v>80</v>
      </c>
      <c r="L16" s="101" t="s">
        <v>80</v>
      </c>
      <c r="M16" s="100" t="s">
        <v>108</v>
      </c>
      <c r="N16" s="99"/>
    </row>
    <row r="17" spans="1:14">
      <c r="A17" s="93" t="s">
        <v>31</v>
      </c>
      <c r="B17" s="100" t="s">
        <v>233</v>
      </c>
      <c r="C17" s="102" t="s">
        <v>232</v>
      </c>
      <c r="D17" s="100" t="s">
        <v>109</v>
      </c>
      <c r="E17" s="100" t="s">
        <v>106</v>
      </c>
      <c r="F17" s="101" t="s">
        <v>107</v>
      </c>
      <c r="G17" s="101" t="s">
        <v>107</v>
      </c>
      <c r="H17" s="101" t="s">
        <v>107</v>
      </c>
      <c r="I17" s="99" t="s">
        <v>107</v>
      </c>
      <c r="J17" s="101" t="s">
        <v>107</v>
      </c>
      <c r="K17" s="101" t="s">
        <v>50</v>
      </c>
      <c r="L17" s="101" t="s">
        <v>50</v>
      </c>
      <c r="M17" s="100" t="s">
        <v>108</v>
      </c>
      <c r="N17" s="99"/>
    </row>
    <row r="18" spans="1:14">
      <c r="A18" s="93" t="s">
        <v>32</v>
      </c>
      <c r="B18" s="100" t="s">
        <v>231</v>
      </c>
      <c r="C18" s="102" t="s">
        <v>230</v>
      </c>
      <c r="D18" s="100" t="s">
        <v>105</v>
      </c>
      <c r="E18" s="100" t="s">
        <v>106</v>
      </c>
      <c r="F18" s="101" t="s">
        <v>107</v>
      </c>
      <c r="G18" s="101" t="s">
        <v>107</v>
      </c>
      <c r="H18" s="101" t="s">
        <v>107</v>
      </c>
      <c r="I18" s="99" t="s">
        <v>107</v>
      </c>
      <c r="J18" s="101" t="s">
        <v>107</v>
      </c>
      <c r="K18" s="101" t="s">
        <v>50</v>
      </c>
      <c r="L18" s="101" t="s">
        <v>50</v>
      </c>
      <c r="M18" s="100" t="s">
        <v>108</v>
      </c>
      <c r="N18" s="99"/>
    </row>
    <row r="19" spans="1:14">
      <c r="A19" s="93" t="s">
        <v>33</v>
      </c>
      <c r="B19" s="100" t="s">
        <v>229</v>
      </c>
      <c r="C19" s="102" t="s">
        <v>228</v>
      </c>
      <c r="D19" s="100" t="s">
        <v>105</v>
      </c>
      <c r="E19" s="100" t="s">
        <v>106</v>
      </c>
      <c r="F19" s="101" t="s">
        <v>107</v>
      </c>
      <c r="G19" s="101" t="s">
        <v>107</v>
      </c>
      <c r="H19" s="101" t="s">
        <v>107</v>
      </c>
      <c r="I19" s="99" t="s">
        <v>107</v>
      </c>
      <c r="J19" s="101" t="s">
        <v>107</v>
      </c>
      <c r="K19" s="101" t="s">
        <v>50</v>
      </c>
      <c r="L19" s="101" t="s">
        <v>50</v>
      </c>
      <c r="M19" s="100" t="s">
        <v>108</v>
      </c>
      <c r="N19" s="99"/>
    </row>
    <row r="20" spans="1:14">
      <c r="A20" s="93" t="s">
        <v>34</v>
      </c>
      <c r="B20" s="100" t="s">
        <v>227</v>
      </c>
      <c r="C20" s="102" t="s">
        <v>226</v>
      </c>
      <c r="D20" s="100" t="s">
        <v>109</v>
      </c>
      <c r="E20" s="100" t="s">
        <v>106</v>
      </c>
      <c r="F20" s="101" t="s">
        <v>107</v>
      </c>
      <c r="G20" s="101" t="s">
        <v>107</v>
      </c>
      <c r="H20" s="101" t="s">
        <v>107</v>
      </c>
      <c r="I20" s="99" t="s">
        <v>107</v>
      </c>
      <c r="J20" s="101" t="s">
        <v>107</v>
      </c>
      <c r="K20" s="101" t="s">
        <v>80</v>
      </c>
      <c r="L20" s="101" t="s">
        <v>80</v>
      </c>
      <c r="M20" s="100" t="s">
        <v>108</v>
      </c>
      <c r="N20" s="99"/>
    </row>
    <row r="21" spans="1:14">
      <c r="A21" s="93" t="s">
        <v>35</v>
      </c>
      <c r="B21" s="100" t="s">
        <v>225</v>
      </c>
      <c r="C21" s="102" t="s">
        <v>224</v>
      </c>
      <c r="D21" s="100" t="s">
        <v>109</v>
      </c>
      <c r="E21" s="100" t="s">
        <v>106</v>
      </c>
      <c r="F21" s="101" t="s">
        <v>107</v>
      </c>
      <c r="G21" s="101" t="s">
        <v>107</v>
      </c>
      <c r="H21" s="101" t="s">
        <v>107</v>
      </c>
      <c r="I21" s="99" t="s">
        <v>107</v>
      </c>
      <c r="J21" s="101" t="s">
        <v>107</v>
      </c>
      <c r="K21" s="101" t="s">
        <v>80</v>
      </c>
      <c r="L21" s="101" t="s">
        <v>80</v>
      </c>
      <c r="M21" s="100" t="s">
        <v>108</v>
      </c>
      <c r="N21" s="99"/>
    </row>
    <row r="22" spans="1:14">
      <c r="A22" s="93" t="s">
        <v>36</v>
      </c>
      <c r="B22" s="100" t="s">
        <v>223</v>
      </c>
      <c r="C22" s="102" t="s">
        <v>222</v>
      </c>
      <c r="D22" s="100" t="s">
        <v>109</v>
      </c>
      <c r="E22" s="100" t="s">
        <v>106</v>
      </c>
      <c r="F22" s="101" t="s">
        <v>107</v>
      </c>
      <c r="G22" s="101" t="s">
        <v>107</v>
      </c>
      <c r="H22" s="101" t="s">
        <v>107</v>
      </c>
      <c r="I22" s="99" t="s">
        <v>107</v>
      </c>
      <c r="J22" s="101" t="s">
        <v>107</v>
      </c>
      <c r="K22" s="101" t="s">
        <v>45</v>
      </c>
      <c r="L22" s="101" t="s">
        <v>45</v>
      </c>
      <c r="M22" s="100" t="s">
        <v>108</v>
      </c>
      <c r="N22" s="99"/>
    </row>
    <row r="23" spans="1:14">
      <c r="A23" s="93" t="s">
        <v>37</v>
      </c>
      <c r="B23" s="100" t="s">
        <v>221</v>
      </c>
      <c r="C23" s="102" t="s">
        <v>220</v>
      </c>
      <c r="D23" s="100" t="s">
        <v>109</v>
      </c>
      <c r="E23" s="100" t="s">
        <v>106</v>
      </c>
      <c r="F23" s="101" t="s">
        <v>107</v>
      </c>
      <c r="G23" s="101" t="s">
        <v>107</v>
      </c>
      <c r="H23" s="101" t="s">
        <v>107</v>
      </c>
      <c r="I23" s="99" t="s">
        <v>107</v>
      </c>
      <c r="J23" s="101" t="s">
        <v>107</v>
      </c>
      <c r="K23" s="101" t="s">
        <v>45</v>
      </c>
      <c r="L23" s="101" t="s">
        <v>45</v>
      </c>
      <c r="M23" s="100" t="s">
        <v>108</v>
      </c>
      <c r="N23" s="99"/>
    </row>
    <row r="24" spans="1:14">
      <c r="A24" s="93" t="s">
        <v>38</v>
      </c>
      <c r="B24" s="100" t="s">
        <v>219</v>
      </c>
      <c r="C24" s="102" t="s">
        <v>218</v>
      </c>
      <c r="D24" s="100" t="s">
        <v>109</v>
      </c>
      <c r="E24" s="100" t="s">
        <v>106</v>
      </c>
      <c r="F24" s="101" t="s">
        <v>107</v>
      </c>
      <c r="G24" s="101" t="s">
        <v>107</v>
      </c>
      <c r="H24" s="101" t="s">
        <v>107</v>
      </c>
      <c r="I24" s="99" t="s">
        <v>107</v>
      </c>
      <c r="J24" s="101" t="s">
        <v>107</v>
      </c>
      <c r="K24" s="101" t="s">
        <v>50</v>
      </c>
      <c r="L24" s="101" t="s">
        <v>50</v>
      </c>
      <c r="M24" s="100" t="s">
        <v>108</v>
      </c>
      <c r="N24" s="99"/>
    </row>
    <row r="25" spans="1:14">
      <c r="A25" s="93" t="s">
        <v>58</v>
      </c>
      <c r="B25" s="100" t="s">
        <v>217</v>
      </c>
      <c r="C25" s="102" t="s">
        <v>216</v>
      </c>
      <c r="D25" s="100" t="s">
        <v>109</v>
      </c>
      <c r="E25" s="100" t="s">
        <v>106</v>
      </c>
      <c r="F25" s="101" t="s">
        <v>107</v>
      </c>
      <c r="G25" s="101" t="s">
        <v>107</v>
      </c>
      <c r="H25" s="101" t="s">
        <v>107</v>
      </c>
      <c r="I25" s="99" t="s">
        <v>107</v>
      </c>
      <c r="J25" s="101" t="s">
        <v>107</v>
      </c>
      <c r="K25" s="101" t="s">
        <v>50</v>
      </c>
      <c r="L25" s="101" t="s">
        <v>50</v>
      </c>
      <c r="M25" s="100" t="s">
        <v>108</v>
      </c>
      <c r="N25" s="99"/>
    </row>
    <row r="26" spans="1:14">
      <c r="A26" s="93" t="s">
        <v>59</v>
      </c>
      <c r="B26" s="100" t="s">
        <v>215</v>
      </c>
      <c r="C26" s="102" t="s">
        <v>214</v>
      </c>
      <c r="D26" s="100" t="s">
        <v>109</v>
      </c>
      <c r="E26" s="100" t="s">
        <v>106</v>
      </c>
      <c r="F26" s="101" t="s">
        <v>107</v>
      </c>
      <c r="G26" s="101" t="s">
        <v>107</v>
      </c>
      <c r="H26" s="101" t="s">
        <v>107</v>
      </c>
      <c r="I26" s="99" t="s">
        <v>107</v>
      </c>
      <c r="J26" s="101" t="s">
        <v>107</v>
      </c>
      <c r="K26" s="101" t="s">
        <v>80</v>
      </c>
      <c r="L26" s="101" t="s">
        <v>80</v>
      </c>
      <c r="M26" s="100" t="s">
        <v>108</v>
      </c>
      <c r="N26" s="99"/>
    </row>
    <row r="27" spans="1:14">
      <c r="A27" s="93" t="s">
        <v>60</v>
      </c>
      <c r="B27" s="100" t="s">
        <v>213</v>
      </c>
      <c r="C27" s="102" t="s">
        <v>212</v>
      </c>
      <c r="D27" s="100" t="s">
        <v>109</v>
      </c>
      <c r="E27" s="100" t="s">
        <v>106</v>
      </c>
      <c r="F27" s="101" t="s">
        <v>107</v>
      </c>
      <c r="G27" s="101" t="s">
        <v>107</v>
      </c>
      <c r="H27" s="101" t="s">
        <v>107</v>
      </c>
      <c r="I27" s="99" t="s">
        <v>107</v>
      </c>
      <c r="J27" s="101" t="s">
        <v>107</v>
      </c>
      <c r="K27" s="101" t="s">
        <v>50</v>
      </c>
      <c r="L27" s="101" t="s">
        <v>50</v>
      </c>
      <c r="M27" s="100" t="s">
        <v>108</v>
      </c>
      <c r="N27" s="99"/>
    </row>
    <row r="28" spans="1:14">
      <c r="A28" s="93" t="s">
        <v>61</v>
      </c>
      <c r="B28" s="100" t="s">
        <v>211</v>
      </c>
      <c r="C28" s="102" t="s">
        <v>210</v>
      </c>
      <c r="D28" s="100" t="s">
        <v>109</v>
      </c>
      <c r="E28" s="100" t="s">
        <v>106</v>
      </c>
      <c r="F28" s="101" t="s">
        <v>107</v>
      </c>
      <c r="G28" s="101" t="s">
        <v>107</v>
      </c>
      <c r="H28" s="101" t="s">
        <v>107</v>
      </c>
      <c r="I28" s="99" t="s">
        <v>107</v>
      </c>
      <c r="J28" s="101" t="s">
        <v>107</v>
      </c>
      <c r="K28" s="101" t="s">
        <v>50</v>
      </c>
      <c r="L28" s="101" t="s">
        <v>50</v>
      </c>
      <c r="M28" s="100" t="s">
        <v>108</v>
      </c>
      <c r="N28" s="99"/>
    </row>
    <row r="29" spans="1:14">
      <c r="A29" s="93" t="s">
        <v>62</v>
      </c>
      <c r="B29" s="100" t="s">
        <v>209</v>
      </c>
      <c r="C29" s="102" t="s">
        <v>208</v>
      </c>
      <c r="D29" s="100" t="s">
        <v>105</v>
      </c>
      <c r="E29" s="100" t="s">
        <v>106</v>
      </c>
      <c r="F29" s="101" t="s">
        <v>107</v>
      </c>
      <c r="G29" s="101" t="s">
        <v>107</v>
      </c>
      <c r="H29" s="101" t="s">
        <v>107</v>
      </c>
      <c r="I29" s="99" t="s">
        <v>107</v>
      </c>
      <c r="J29" s="101" t="s">
        <v>107</v>
      </c>
      <c r="K29" s="101" t="s">
        <v>55</v>
      </c>
      <c r="L29" s="101" t="s">
        <v>55</v>
      </c>
      <c r="M29" s="100" t="s">
        <v>108</v>
      </c>
      <c r="N29" s="99"/>
    </row>
    <row r="30" spans="1:14">
      <c r="A30" s="93" t="s">
        <v>63</v>
      </c>
      <c r="B30" s="100" t="s">
        <v>207</v>
      </c>
      <c r="C30" s="102" t="s">
        <v>206</v>
      </c>
      <c r="D30" s="100" t="s">
        <v>109</v>
      </c>
      <c r="E30" s="100" t="s">
        <v>106</v>
      </c>
      <c r="F30" s="101" t="s">
        <v>107</v>
      </c>
      <c r="G30" s="101" t="s">
        <v>107</v>
      </c>
      <c r="H30" s="101" t="s">
        <v>107</v>
      </c>
      <c r="I30" s="99" t="s">
        <v>107</v>
      </c>
      <c r="J30" s="101" t="s">
        <v>107</v>
      </c>
      <c r="K30" s="101" t="s">
        <v>80</v>
      </c>
      <c r="L30" s="101" t="s">
        <v>80</v>
      </c>
      <c r="M30" s="100" t="s">
        <v>108</v>
      </c>
      <c r="N30" s="99"/>
    </row>
    <row r="31" spans="1:14">
      <c r="A31" s="93" t="s">
        <v>64</v>
      </c>
      <c r="B31" s="100" t="s">
        <v>205</v>
      </c>
      <c r="C31" s="102" t="s">
        <v>204</v>
      </c>
      <c r="D31" s="100" t="s">
        <v>109</v>
      </c>
      <c r="E31" s="100" t="s">
        <v>106</v>
      </c>
      <c r="F31" s="101" t="s">
        <v>107</v>
      </c>
      <c r="G31" s="101" t="s">
        <v>107</v>
      </c>
      <c r="H31" s="101" t="s">
        <v>107</v>
      </c>
      <c r="I31" s="99" t="s">
        <v>107</v>
      </c>
      <c r="J31" s="101" t="s">
        <v>107</v>
      </c>
      <c r="K31" s="101" t="s">
        <v>50</v>
      </c>
      <c r="L31" s="101" t="s">
        <v>50</v>
      </c>
      <c r="M31" s="100" t="s">
        <v>108</v>
      </c>
      <c r="N31" s="99"/>
    </row>
    <row r="32" spans="1:14">
      <c r="A32" s="93" t="s">
        <v>65</v>
      </c>
      <c r="B32" s="100" t="s">
        <v>203</v>
      </c>
      <c r="C32" s="102" t="s">
        <v>202</v>
      </c>
      <c r="D32" s="100" t="s">
        <v>105</v>
      </c>
      <c r="E32" s="100" t="s">
        <v>106</v>
      </c>
      <c r="F32" s="101" t="s">
        <v>107</v>
      </c>
      <c r="G32" s="101" t="s">
        <v>107</v>
      </c>
      <c r="H32" s="101" t="s">
        <v>107</v>
      </c>
      <c r="I32" s="99" t="s">
        <v>107</v>
      </c>
      <c r="J32" s="101" t="s">
        <v>107</v>
      </c>
      <c r="K32" s="101" t="s">
        <v>80</v>
      </c>
      <c r="L32" s="101" t="s">
        <v>80</v>
      </c>
      <c r="M32" s="100" t="s">
        <v>108</v>
      </c>
      <c r="N32" s="99"/>
    </row>
    <row r="33" spans="1:14">
      <c r="A33" s="93" t="s">
        <v>66</v>
      </c>
      <c r="B33" s="100" t="s">
        <v>201</v>
      </c>
      <c r="C33" s="102" t="s">
        <v>200</v>
      </c>
      <c r="D33" s="100" t="s">
        <v>105</v>
      </c>
      <c r="E33" s="100" t="s">
        <v>106</v>
      </c>
      <c r="F33" s="101" t="s">
        <v>107</v>
      </c>
      <c r="G33" s="101" t="s">
        <v>107</v>
      </c>
      <c r="H33" s="101" t="s">
        <v>107</v>
      </c>
      <c r="I33" s="99" t="s">
        <v>107</v>
      </c>
      <c r="J33" s="101" t="s">
        <v>107</v>
      </c>
      <c r="K33" s="101" t="s">
        <v>45</v>
      </c>
      <c r="L33" s="101" t="s">
        <v>45</v>
      </c>
      <c r="M33" s="100" t="s">
        <v>108</v>
      </c>
      <c r="N33" s="99"/>
    </row>
    <row r="34" spans="1:14">
      <c r="A34" s="93" t="s">
        <v>67</v>
      </c>
      <c r="B34" s="100" t="s">
        <v>199</v>
      </c>
      <c r="C34" s="102" t="s">
        <v>198</v>
      </c>
      <c r="D34" s="100" t="s">
        <v>105</v>
      </c>
      <c r="E34" s="100" t="s">
        <v>106</v>
      </c>
      <c r="F34" s="101" t="s">
        <v>107</v>
      </c>
      <c r="G34" s="101" t="s">
        <v>107</v>
      </c>
      <c r="H34" s="101" t="s">
        <v>107</v>
      </c>
      <c r="I34" s="99" t="s">
        <v>107</v>
      </c>
      <c r="J34" s="101" t="s">
        <v>107</v>
      </c>
      <c r="K34" s="101" t="s">
        <v>80</v>
      </c>
      <c r="L34" s="101" t="s">
        <v>80</v>
      </c>
      <c r="M34" s="100" t="s">
        <v>108</v>
      </c>
      <c r="N34" s="99"/>
    </row>
    <row r="35" spans="1:14">
      <c r="A35" s="93" t="s">
        <v>68</v>
      </c>
      <c r="B35" s="100" t="s">
        <v>197</v>
      </c>
      <c r="C35" s="102" t="s">
        <v>196</v>
      </c>
      <c r="D35" s="100" t="s">
        <v>105</v>
      </c>
      <c r="E35" s="100" t="s">
        <v>106</v>
      </c>
      <c r="F35" s="101" t="s">
        <v>107</v>
      </c>
      <c r="G35" s="101" t="s">
        <v>107</v>
      </c>
      <c r="H35" s="101" t="s">
        <v>107</v>
      </c>
      <c r="I35" s="99" t="s">
        <v>107</v>
      </c>
      <c r="J35" s="101" t="s">
        <v>107</v>
      </c>
      <c r="K35" s="101" t="s">
        <v>50</v>
      </c>
      <c r="L35" s="101" t="s">
        <v>50</v>
      </c>
      <c r="M35" s="100" t="s">
        <v>108</v>
      </c>
      <c r="N35" s="99"/>
    </row>
    <row r="36" spans="1:14">
      <c r="A36" s="93" t="s">
        <v>69</v>
      </c>
      <c r="B36" s="100" t="s">
        <v>195</v>
      </c>
      <c r="C36" s="102" t="s">
        <v>194</v>
      </c>
      <c r="D36" s="100" t="s">
        <v>105</v>
      </c>
      <c r="E36" s="100" t="s">
        <v>106</v>
      </c>
      <c r="F36" s="101" t="s">
        <v>107</v>
      </c>
      <c r="G36" s="101" t="s">
        <v>107</v>
      </c>
      <c r="H36" s="101" t="s">
        <v>107</v>
      </c>
      <c r="I36" s="99" t="s">
        <v>107</v>
      </c>
      <c r="J36" s="101" t="s">
        <v>107</v>
      </c>
      <c r="K36" s="101" t="s">
        <v>50</v>
      </c>
      <c r="L36" s="101" t="s">
        <v>50</v>
      </c>
      <c r="M36" s="100" t="s">
        <v>108</v>
      </c>
      <c r="N36" s="99"/>
    </row>
    <row r="37" spans="1:14">
      <c r="A37" s="93" t="s">
        <v>70</v>
      </c>
      <c r="B37" s="100" t="s">
        <v>193</v>
      </c>
      <c r="C37" s="102" t="s">
        <v>192</v>
      </c>
      <c r="D37" s="100" t="s">
        <v>105</v>
      </c>
      <c r="E37" s="100" t="s">
        <v>106</v>
      </c>
      <c r="F37" s="101" t="s">
        <v>107</v>
      </c>
      <c r="G37" s="101" t="s">
        <v>107</v>
      </c>
      <c r="H37" s="101" t="s">
        <v>107</v>
      </c>
      <c r="I37" s="99" t="s">
        <v>107</v>
      </c>
      <c r="J37" s="101" t="s">
        <v>107</v>
      </c>
      <c r="K37" s="101" t="s">
        <v>80</v>
      </c>
      <c r="L37" s="101" t="s">
        <v>80</v>
      </c>
      <c r="M37" s="100" t="s">
        <v>108</v>
      </c>
      <c r="N37" s="99"/>
    </row>
    <row r="38" spans="1:14">
      <c r="A38" s="93" t="s">
        <v>71</v>
      </c>
      <c r="B38" s="100" t="s">
        <v>191</v>
      </c>
      <c r="C38" s="102" t="s">
        <v>190</v>
      </c>
      <c r="D38" s="100" t="s">
        <v>109</v>
      </c>
      <c r="E38" s="100" t="s">
        <v>106</v>
      </c>
      <c r="F38" s="101" t="s">
        <v>107</v>
      </c>
      <c r="G38" s="101" t="s">
        <v>107</v>
      </c>
      <c r="H38" s="101" t="s">
        <v>107</v>
      </c>
      <c r="I38" s="99" t="s">
        <v>107</v>
      </c>
      <c r="J38" s="101" t="s">
        <v>107</v>
      </c>
      <c r="K38" s="101" t="s">
        <v>50</v>
      </c>
      <c r="L38" s="101" t="s">
        <v>50</v>
      </c>
      <c r="M38" s="100" t="s">
        <v>108</v>
      </c>
      <c r="N38" s="99"/>
    </row>
    <row r="39" spans="1:14">
      <c r="A39" s="93" t="s">
        <v>72</v>
      </c>
      <c r="B39" s="100" t="s">
        <v>189</v>
      </c>
      <c r="C39" s="102" t="s">
        <v>188</v>
      </c>
      <c r="D39" s="100" t="s">
        <v>105</v>
      </c>
      <c r="E39" s="100" t="s">
        <v>106</v>
      </c>
      <c r="F39" s="101" t="s">
        <v>107</v>
      </c>
      <c r="G39" s="101" t="s">
        <v>107</v>
      </c>
      <c r="H39" s="101" t="s">
        <v>107</v>
      </c>
      <c r="I39" s="99" t="s">
        <v>107</v>
      </c>
      <c r="J39" s="101" t="s">
        <v>107</v>
      </c>
      <c r="K39" s="101" t="s">
        <v>50</v>
      </c>
      <c r="L39" s="101" t="s">
        <v>50</v>
      </c>
      <c r="M39" s="100" t="s">
        <v>108</v>
      </c>
      <c r="N39" s="99"/>
    </row>
    <row r="40" spans="1:14">
      <c r="A40" s="93" t="s">
        <v>73</v>
      </c>
      <c r="B40" s="100" t="s">
        <v>187</v>
      </c>
      <c r="C40" s="102" t="s">
        <v>186</v>
      </c>
      <c r="D40" s="100" t="s">
        <v>109</v>
      </c>
      <c r="E40" s="100" t="s">
        <v>106</v>
      </c>
      <c r="F40" s="101" t="s">
        <v>107</v>
      </c>
      <c r="G40" s="101" t="s">
        <v>107</v>
      </c>
      <c r="H40" s="101" t="s">
        <v>107</v>
      </c>
      <c r="I40" s="99" t="s">
        <v>107</v>
      </c>
      <c r="J40" s="101" t="s">
        <v>107</v>
      </c>
      <c r="K40" s="101" t="s">
        <v>47</v>
      </c>
      <c r="L40" s="101" t="s">
        <v>47</v>
      </c>
      <c r="M40" s="100" t="s">
        <v>108</v>
      </c>
      <c r="N40" s="99"/>
    </row>
    <row r="41" spans="1:14">
      <c r="A41" s="93" t="s">
        <v>74</v>
      </c>
      <c r="B41" s="100" t="s">
        <v>185</v>
      </c>
      <c r="C41" s="102" t="s">
        <v>184</v>
      </c>
      <c r="D41" s="100" t="s">
        <v>109</v>
      </c>
      <c r="E41" s="100" t="s">
        <v>106</v>
      </c>
      <c r="F41" s="101" t="s">
        <v>107</v>
      </c>
      <c r="G41" s="101" t="s">
        <v>107</v>
      </c>
      <c r="H41" s="101" t="s">
        <v>107</v>
      </c>
      <c r="I41" s="99" t="s">
        <v>107</v>
      </c>
      <c r="J41" s="101" t="s">
        <v>107</v>
      </c>
      <c r="K41" s="101" t="s">
        <v>80</v>
      </c>
      <c r="L41" s="101" t="s">
        <v>80</v>
      </c>
      <c r="M41" s="100" t="s">
        <v>108</v>
      </c>
      <c r="N41" s="99"/>
    </row>
    <row r="42" spans="1:14">
      <c r="A42" s="93" t="s">
        <v>75</v>
      </c>
      <c r="B42" s="100" t="s">
        <v>183</v>
      </c>
      <c r="C42" s="102" t="s">
        <v>182</v>
      </c>
      <c r="D42" s="100" t="s">
        <v>109</v>
      </c>
      <c r="E42" s="100" t="s">
        <v>106</v>
      </c>
      <c r="F42" s="101" t="s">
        <v>107</v>
      </c>
      <c r="G42" s="101" t="s">
        <v>107</v>
      </c>
      <c r="H42" s="101" t="s">
        <v>107</v>
      </c>
      <c r="I42" s="99" t="s">
        <v>107</v>
      </c>
      <c r="J42" s="101" t="s">
        <v>107</v>
      </c>
      <c r="K42" s="101" t="s">
        <v>45</v>
      </c>
      <c r="L42" s="101" t="s">
        <v>45</v>
      </c>
      <c r="M42" s="100" t="s">
        <v>108</v>
      </c>
      <c r="N42" s="99"/>
    </row>
    <row r="43" spans="1:14">
      <c r="A43" s="93" t="s">
        <v>76</v>
      </c>
      <c r="B43" s="100" t="s">
        <v>181</v>
      </c>
      <c r="C43" s="102" t="s">
        <v>180</v>
      </c>
      <c r="D43" s="100" t="s">
        <v>109</v>
      </c>
      <c r="E43" s="100" t="s">
        <v>106</v>
      </c>
      <c r="F43" s="101" t="s">
        <v>107</v>
      </c>
      <c r="G43" s="101" t="s">
        <v>107</v>
      </c>
      <c r="H43" s="101" t="s">
        <v>107</v>
      </c>
      <c r="I43" s="99" t="s">
        <v>107</v>
      </c>
      <c r="J43" s="101" t="s">
        <v>107</v>
      </c>
      <c r="K43" s="101" t="s">
        <v>80</v>
      </c>
      <c r="L43" s="101" t="s">
        <v>80</v>
      </c>
      <c r="M43" s="100" t="s">
        <v>108</v>
      </c>
      <c r="N43" s="99"/>
    </row>
    <row r="44" spans="1:14">
      <c r="A44" s="93" t="s">
        <v>77</v>
      </c>
      <c r="B44" s="100" t="s">
        <v>179</v>
      </c>
      <c r="C44" s="102" t="s">
        <v>178</v>
      </c>
      <c r="D44" s="100" t="s">
        <v>109</v>
      </c>
      <c r="E44" s="100" t="s">
        <v>106</v>
      </c>
      <c r="F44" s="101" t="s">
        <v>107</v>
      </c>
      <c r="G44" s="101" t="s">
        <v>107</v>
      </c>
      <c r="H44" s="101" t="s">
        <v>107</v>
      </c>
      <c r="I44" s="99" t="s">
        <v>107</v>
      </c>
      <c r="J44" s="101" t="s">
        <v>107</v>
      </c>
      <c r="K44" s="101" t="s">
        <v>50</v>
      </c>
      <c r="L44" s="101" t="s">
        <v>50</v>
      </c>
      <c r="M44" s="100" t="s">
        <v>108</v>
      </c>
      <c r="N44" s="99"/>
    </row>
    <row r="45" spans="1:14">
      <c r="A45" s="93" t="s">
        <v>78</v>
      </c>
      <c r="B45" s="100" t="s">
        <v>177</v>
      </c>
      <c r="C45" s="102" t="s">
        <v>176</v>
      </c>
      <c r="D45" s="100" t="s">
        <v>109</v>
      </c>
      <c r="E45" s="100" t="s">
        <v>106</v>
      </c>
      <c r="F45" s="101" t="s">
        <v>107</v>
      </c>
      <c r="G45" s="101" t="s">
        <v>107</v>
      </c>
      <c r="H45" s="101" t="s">
        <v>107</v>
      </c>
      <c r="I45" s="99" t="s">
        <v>107</v>
      </c>
      <c r="J45" s="101" t="s">
        <v>107</v>
      </c>
      <c r="K45" s="101" t="s">
        <v>50</v>
      </c>
      <c r="L45" s="101" t="s">
        <v>50</v>
      </c>
      <c r="M45" s="100" t="s">
        <v>108</v>
      </c>
      <c r="N45" s="99"/>
    </row>
    <row r="46" spans="1:14">
      <c r="A46" s="93" t="s">
        <v>79</v>
      </c>
      <c r="B46" s="100" t="s">
        <v>175</v>
      </c>
      <c r="C46" s="102" t="s">
        <v>174</v>
      </c>
      <c r="D46" s="100" t="s">
        <v>109</v>
      </c>
      <c r="E46" s="100" t="s">
        <v>106</v>
      </c>
      <c r="F46" s="101" t="s">
        <v>107</v>
      </c>
      <c r="G46" s="101" t="s">
        <v>107</v>
      </c>
      <c r="H46" s="101" t="s">
        <v>107</v>
      </c>
      <c r="I46" s="99" t="s">
        <v>107</v>
      </c>
      <c r="J46" s="101" t="s">
        <v>107</v>
      </c>
      <c r="K46" s="101" t="s">
        <v>80</v>
      </c>
      <c r="L46" s="101" t="s">
        <v>80</v>
      </c>
      <c r="M46" s="100" t="s">
        <v>108</v>
      </c>
      <c r="N46" s="99"/>
    </row>
    <row r="47" spans="1:14"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</row>
    <row r="48" spans="1:14" ht="15" customHeight="1">
      <c r="A48" s="142" t="s">
        <v>110</v>
      </c>
      <c r="B48" s="141" t="s">
        <v>111</v>
      </c>
      <c r="C48" s="141"/>
      <c r="D48" s="141" t="s">
        <v>112</v>
      </c>
      <c r="E48" s="141"/>
      <c r="F48" s="141" t="s">
        <v>113</v>
      </c>
      <c r="G48" s="141"/>
      <c r="H48" s="141" t="s">
        <v>114</v>
      </c>
      <c r="I48" s="141"/>
      <c r="J48" s="141" t="s">
        <v>115</v>
      </c>
      <c r="K48" s="141"/>
      <c r="L48" s="94" t="s">
        <v>116</v>
      </c>
      <c r="M48" s="94" t="s">
        <v>117</v>
      </c>
      <c r="N48" s="94" t="s">
        <v>118</v>
      </c>
    </row>
    <row r="49" spans="1:14" ht="15" customHeight="1">
      <c r="A49" s="97" t="s">
        <v>119</v>
      </c>
      <c r="B49" s="96" t="s">
        <v>120</v>
      </c>
      <c r="C49" s="96"/>
      <c r="D49" s="96" t="s">
        <v>121</v>
      </c>
      <c r="E49" s="96"/>
      <c r="F49" s="96" t="s">
        <v>122</v>
      </c>
      <c r="G49" s="96"/>
      <c r="H49" s="96" t="s">
        <v>123</v>
      </c>
      <c r="I49" s="96"/>
      <c r="J49" s="96" t="s">
        <v>124</v>
      </c>
      <c r="K49" s="96"/>
      <c r="L49" s="94"/>
      <c r="M49" s="94"/>
      <c r="N49" s="94"/>
    </row>
    <row r="50" spans="1:14">
      <c r="A50" s="95" t="s">
        <v>125</v>
      </c>
      <c r="B50" s="93" t="s">
        <v>126</v>
      </c>
      <c r="C50" s="93" t="s">
        <v>103</v>
      </c>
      <c r="D50" s="93" t="s">
        <v>126</v>
      </c>
      <c r="E50" s="93" t="s">
        <v>103</v>
      </c>
      <c r="F50" s="93" t="s">
        <v>126</v>
      </c>
      <c r="G50" s="93" t="s">
        <v>103</v>
      </c>
      <c r="H50" s="93" t="s">
        <v>126</v>
      </c>
      <c r="I50" s="93" t="s">
        <v>103</v>
      </c>
      <c r="J50" s="93" t="s">
        <v>126</v>
      </c>
      <c r="K50" s="93" t="s">
        <v>103</v>
      </c>
      <c r="L50" s="94"/>
      <c r="M50" s="94"/>
      <c r="N50" s="94"/>
    </row>
    <row r="51" spans="1:14">
      <c r="A51" s="93" t="s">
        <v>280</v>
      </c>
      <c r="B51" s="92" t="s">
        <v>44</v>
      </c>
      <c r="C51" s="92" t="s">
        <v>44</v>
      </c>
      <c r="D51" s="92" t="s">
        <v>78</v>
      </c>
      <c r="E51" s="92" t="s">
        <v>78</v>
      </c>
      <c r="F51" s="92" t="s">
        <v>127</v>
      </c>
      <c r="G51" s="92" t="s">
        <v>127</v>
      </c>
      <c r="H51" s="92" t="s">
        <v>127</v>
      </c>
      <c r="I51" s="92" t="s">
        <v>127</v>
      </c>
      <c r="J51" s="92" t="s">
        <v>127</v>
      </c>
      <c r="K51" s="92" t="s">
        <v>127</v>
      </c>
      <c r="L51" s="92" t="s">
        <v>127</v>
      </c>
      <c r="M51" s="92" t="s">
        <v>127</v>
      </c>
      <c r="N51" s="92" t="s">
        <v>127</v>
      </c>
    </row>
    <row r="52" spans="1:14">
      <c r="A52" s="93" t="s">
        <v>128</v>
      </c>
      <c r="B52" s="92" t="s">
        <v>279</v>
      </c>
      <c r="C52" s="92" t="s">
        <v>279</v>
      </c>
      <c r="D52" s="92" t="s">
        <v>278</v>
      </c>
      <c r="E52" s="92" t="s">
        <v>278</v>
      </c>
      <c r="F52" s="92" t="s">
        <v>129</v>
      </c>
      <c r="G52" s="92" t="s">
        <v>129</v>
      </c>
      <c r="H52" s="92" t="s">
        <v>129</v>
      </c>
      <c r="I52" s="92" t="s">
        <v>129</v>
      </c>
      <c r="J52" s="92" t="s">
        <v>129</v>
      </c>
      <c r="K52" s="92" t="s">
        <v>129</v>
      </c>
      <c r="L52" s="92" t="s">
        <v>129</v>
      </c>
      <c r="M52" s="92" t="s">
        <v>129</v>
      </c>
      <c r="N52" s="92" t="s">
        <v>129</v>
      </c>
    </row>
    <row r="53" spans="1:14">
      <c r="A53" s="91" t="s">
        <v>277</v>
      </c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</row>
    <row r="54" spans="1:14">
      <c r="A54" s="91" t="s">
        <v>276</v>
      </c>
    </row>
    <row r="55" spans="1:14">
      <c r="A55" s="91" t="s">
        <v>173</v>
      </c>
    </row>
  </sheetData>
  <mergeCells count="23">
    <mergeCell ref="D48:E48"/>
    <mergeCell ref="F48:G48"/>
    <mergeCell ref="H48:I48"/>
    <mergeCell ref="J48:K48"/>
    <mergeCell ref="A5:A6"/>
    <mergeCell ref="B5:B6"/>
    <mergeCell ref="C5:C6"/>
    <mergeCell ref="D5:D6"/>
    <mergeCell ref="A1:L1"/>
    <mergeCell ref="A2:L2"/>
    <mergeCell ref="A3:N3"/>
    <mergeCell ref="A4:N4"/>
    <mergeCell ref="F5:L5"/>
    <mergeCell ref="L48:L50"/>
    <mergeCell ref="M48:M50"/>
    <mergeCell ref="N5:N6"/>
    <mergeCell ref="N48:N50"/>
    <mergeCell ref="B49:C49"/>
    <mergeCell ref="D49:E49"/>
    <mergeCell ref="F49:G49"/>
    <mergeCell ref="H49:I49"/>
    <mergeCell ref="J49:K49"/>
    <mergeCell ref="B48:C48"/>
  </mergeCells>
  <phoneticPr fontId="22" type="noConversion"/>
  <pageMargins left="0.43263888888888891" right="0.43263888888888891" top="1" bottom="1" header="0.51180555555555551" footer="0.51180555555555551"/>
  <pageSetup paperSize="9" orientation="portrait" verticalDpi="30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0664-4725-454C-9ED1-36D26F5BB276}">
  <dimension ref="B1:Z54"/>
  <sheetViews>
    <sheetView showGridLines="0" zoomScaleNormal="100" workbookViewId="0">
      <selection activeCell="AB15" sqref="AB15"/>
    </sheetView>
  </sheetViews>
  <sheetFormatPr defaultColWidth="7" defaultRowHeight="12"/>
  <cols>
    <col min="1" max="1" width="2.75" style="108" bestFit="1" customWidth="1"/>
    <col min="2" max="2" width="4.4140625" style="108" bestFit="1" customWidth="1"/>
    <col min="3" max="3" width="11.83203125" style="108" customWidth="1"/>
    <col min="4" max="4" width="8.08203125" style="108" customWidth="1"/>
    <col min="5" max="6" width="4.6640625" style="108" bestFit="1" customWidth="1"/>
    <col min="7" max="19" width="4.4140625" style="108" bestFit="1" customWidth="1"/>
    <col min="20" max="20" width="4.5" style="108" bestFit="1" customWidth="1"/>
    <col min="21" max="21" width="7.4140625" style="108" bestFit="1" customWidth="1"/>
    <col min="22" max="22" width="7.33203125" style="108" customWidth="1"/>
    <col min="23" max="24" width="6.58203125" style="108" customWidth="1"/>
    <col min="25" max="25" width="4.9140625" style="108" bestFit="1" customWidth="1"/>
    <col min="26" max="16384" width="7" style="108"/>
  </cols>
  <sheetData>
    <row r="1" spans="2:25" ht="78" customHeight="1">
      <c r="B1" s="139" t="s">
        <v>267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</row>
    <row r="2" spans="2:25" ht="32" customHeight="1">
      <c r="B2" s="138" t="s">
        <v>254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2:25" ht="30" customHeight="1">
      <c r="B3" s="136" t="s">
        <v>266</v>
      </c>
      <c r="C3" s="136"/>
      <c r="D3" s="136"/>
      <c r="E3" s="137" t="s">
        <v>281</v>
      </c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6" t="s">
        <v>265</v>
      </c>
      <c r="R3" s="136"/>
      <c r="S3" s="136"/>
      <c r="W3" s="135" t="s">
        <v>264</v>
      </c>
      <c r="X3" s="135"/>
      <c r="Y3" s="135"/>
    </row>
    <row r="4" spans="2:25" ht="16" customHeight="1">
      <c r="B4" s="134" t="s">
        <v>263</v>
      </c>
      <c r="C4" s="134"/>
      <c r="D4" s="134"/>
      <c r="E4" s="134" t="s">
        <v>262</v>
      </c>
      <c r="F4" s="134"/>
      <c r="G4" s="134"/>
      <c r="H4" s="134"/>
      <c r="I4" s="134"/>
      <c r="J4" s="134"/>
      <c r="K4" s="134" t="s">
        <v>261</v>
      </c>
      <c r="L4" s="134"/>
      <c r="M4" s="134"/>
      <c r="N4" s="134"/>
      <c r="O4" s="134"/>
      <c r="P4" s="134"/>
      <c r="Q4" s="134" t="s">
        <v>283</v>
      </c>
      <c r="R4" s="134"/>
      <c r="S4" s="134"/>
      <c r="T4" s="134"/>
      <c r="U4" s="134"/>
      <c r="V4" s="134"/>
      <c r="W4" s="133" t="s">
        <v>260</v>
      </c>
      <c r="X4" s="132" t="s">
        <v>79</v>
      </c>
      <c r="Y4" s="132"/>
    </row>
    <row r="5" spans="2:25" ht="30" customHeight="1">
      <c r="B5" s="128" t="s">
        <v>39</v>
      </c>
      <c r="C5" s="131" t="s">
        <v>40</v>
      </c>
      <c r="D5" s="126" t="s">
        <v>41</v>
      </c>
      <c r="E5" s="126" t="s">
        <v>259</v>
      </c>
      <c r="F5" s="130"/>
      <c r="G5" s="127"/>
      <c r="H5" s="127"/>
      <c r="I5" s="127"/>
      <c r="J5" s="127"/>
      <c r="K5" s="127"/>
      <c r="L5" s="130"/>
      <c r="M5" s="127"/>
      <c r="N5" s="127"/>
      <c r="O5" s="127"/>
      <c r="P5" s="127"/>
      <c r="Q5" s="127"/>
      <c r="R5" s="127"/>
      <c r="S5" s="127"/>
      <c r="T5" s="127"/>
      <c r="U5" s="126" t="s">
        <v>258</v>
      </c>
      <c r="V5" s="126" t="s">
        <v>257</v>
      </c>
      <c r="W5" s="126" t="s">
        <v>42</v>
      </c>
      <c r="X5" s="126" t="s">
        <v>42</v>
      </c>
      <c r="Y5" s="129" t="s">
        <v>43</v>
      </c>
    </row>
    <row r="6" spans="2:25" ht="13">
      <c r="B6" s="128"/>
      <c r="C6" s="126"/>
      <c r="D6" s="126"/>
      <c r="E6" s="126" t="s">
        <v>256</v>
      </c>
      <c r="F6" s="127"/>
      <c r="G6" s="127"/>
      <c r="H6" s="127"/>
      <c r="I6" s="127"/>
      <c r="J6" s="127"/>
      <c r="K6" s="127"/>
      <c r="L6" s="127"/>
      <c r="M6" s="126" t="s">
        <v>255</v>
      </c>
      <c r="N6" s="127"/>
      <c r="O6" s="127"/>
      <c r="P6" s="127"/>
      <c r="Q6" s="126"/>
      <c r="R6" s="127"/>
      <c r="S6" s="127"/>
      <c r="T6" s="127"/>
      <c r="U6" s="126"/>
      <c r="V6" s="126"/>
      <c r="W6" s="126"/>
      <c r="X6" s="126"/>
      <c r="Y6" s="125"/>
    </row>
    <row r="7" spans="2:25" ht="16" customHeight="1">
      <c r="B7" s="124" t="s">
        <v>44</v>
      </c>
      <c r="C7" s="123" t="s">
        <v>253</v>
      </c>
      <c r="D7" s="123" t="s">
        <v>252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01" t="s">
        <v>80</v>
      </c>
      <c r="W7" s="101" t="s">
        <v>80</v>
      </c>
      <c r="X7" s="122"/>
      <c r="Y7" s="121"/>
    </row>
    <row r="8" spans="2:25" ht="16" customHeight="1">
      <c r="B8" s="124" t="s">
        <v>46</v>
      </c>
      <c r="C8" s="123" t="s">
        <v>251</v>
      </c>
      <c r="D8" s="123" t="s">
        <v>250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01" t="s">
        <v>50</v>
      </c>
      <c r="W8" s="101" t="s">
        <v>50</v>
      </c>
      <c r="X8" s="122"/>
      <c r="Y8" s="121"/>
    </row>
    <row r="9" spans="2:25" ht="16" customHeight="1">
      <c r="B9" s="124" t="s">
        <v>48</v>
      </c>
      <c r="C9" s="123" t="s">
        <v>249</v>
      </c>
      <c r="D9" s="123" t="s">
        <v>248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01" t="s">
        <v>45</v>
      </c>
      <c r="W9" s="101" t="s">
        <v>45</v>
      </c>
      <c r="X9" s="122"/>
      <c r="Y9" s="121"/>
    </row>
    <row r="10" spans="2:25" ht="16" customHeight="1">
      <c r="B10" s="124" t="s">
        <v>49</v>
      </c>
      <c r="C10" s="123" t="s">
        <v>247</v>
      </c>
      <c r="D10" s="123" t="s">
        <v>246</v>
      </c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01" t="s">
        <v>47</v>
      </c>
      <c r="W10" s="101" t="s">
        <v>47</v>
      </c>
      <c r="X10" s="122"/>
      <c r="Y10" s="121"/>
    </row>
    <row r="11" spans="2:25" ht="16" customHeight="1">
      <c r="B11" s="124" t="s">
        <v>51</v>
      </c>
      <c r="C11" s="123" t="s">
        <v>245</v>
      </c>
      <c r="D11" s="123" t="s">
        <v>244</v>
      </c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01" t="s">
        <v>80</v>
      </c>
      <c r="W11" s="101" t="s">
        <v>80</v>
      </c>
      <c r="X11" s="122"/>
      <c r="Y11" s="121"/>
    </row>
    <row r="12" spans="2:25" ht="16" customHeight="1">
      <c r="B12" s="124" t="s">
        <v>52</v>
      </c>
      <c r="C12" s="123" t="s">
        <v>243</v>
      </c>
      <c r="D12" s="123" t="s">
        <v>242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01" t="s">
        <v>47</v>
      </c>
      <c r="W12" s="101" t="s">
        <v>47</v>
      </c>
      <c r="X12" s="122"/>
      <c r="Y12" s="121"/>
    </row>
    <row r="13" spans="2:25" ht="16" customHeight="1">
      <c r="B13" s="124" t="s">
        <v>53</v>
      </c>
      <c r="C13" s="123" t="s">
        <v>241</v>
      </c>
      <c r="D13" s="123" t="s">
        <v>240</v>
      </c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01" t="s">
        <v>57</v>
      </c>
      <c r="W13" s="101" t="s">
        <v>57</v>
      </c>
      <c r="X13" s="122"/>
      <c r="Y13" s="121"/>
    </row>
    <row r="14" spans="2:25" ht="16" customHeight="1">
      <c r="B14" s="124" t="s">
        <v>54</v>
      </c>
      <c r="C14" s="123" t="s">
        <v>239</v>
      </c>
      <c r="D14" s="123" t="s">
        <v>238</v>
      </c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01" t="s">
        <v>50</v>
      </c>
      <c r="W14" s="101" t="s">
        <v>50</v>
      </c>
      <c r="X14" s="122"/>
      <c r="Y14" s="121"/>
    </row>
    <row r="15" spans="2:25" ht="16" customHeight="1">
      <c r="B15" s="124" t="s">
        <v>56</v>
      </c>
      <c r="C15" s="123" t="s">
        <v>237</v>
      </c>
      <c r="D15" s="123" t="s">
        <v>236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01" t="s">
        <v>45</v>
      </c>
      <c r="W15" s="101" t="s">
        <v>45</v>
      </c>
      <c r="X15" s="122"/>
      <c r="Y15" s="121"/>
    </row>
    <row r="16" spans="2:25" ht="16" customHeight="1">
      <c r="B16" s="124" t="s">
        <v>30</v>
      </c>
      <c r="C16" s="123" t="s">
        <v>235</v>
      </c>
      <c r="D16" s="123" t="s">
        <v>234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01" t="s">
        <v>80</v>
      </c>
      <c r="W16" s="101" t="s">
        <v>80</v>
      </c>
      <c r="X16" s="122"/>
      <c r="Y16" s="121"/>
    </row>
    <row r="17" spans="2:25" ht="16" customHeight="1">
      <c r="B17" s="124" t="s">
        <v>31</v>
      </c>
      <c r="C17" s="123" t="s">
        <v>233</v>
      </c>
      <c r="D17" s="123" t="s">
        <v>232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01" t="s">
        <v>50</v>
      </c>
      <c r="W17" s="101" t="s">
        <v>50</v>
      </c>
      <c r="X17" s="122"/>
      <c r="Y17" s="121"/>
    </row>
    <row r="18" spans="2:25" ht="16" customHeight="1">
      <c r="B18" s="124" t="s">
        <v>32</v>
      </c>
      <c r="C18" s="123" t="s">
        <v>231</v>
      </c>
      <c r="D18" s="123" t="s">
        <v>230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01" t="s">
        <v>50</v>
      </c>
      <c r="W18" s="101" t="s">
        <v>50</v>
      </c>
      <c r="X18" s="122"/>
      <c r="Y18" s="121"/>
    </row>
    <row r="19" spans="2:25" ht="16" customHeight="1">
      <c r="B19" s="124" t="s">
        <v>33</v>
      </c>
      <c r="C19" s="123" t="s">
        <v>229</v>
      </c>
      <c r="D19" s="123" t="s">
        <v>228</v>
      </c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01" t="s">
        <v>50</v>
      </c>
      <c r="W19" s="101" t="s">
        <v>50</v>
      </c>
      <c r="X19" s="122"/>
      <c r="Y19" s="121"/>
    </row>
    <row r="20" spans="2:25" ht="16" customHeight="1">
      <c r="B20" s="124" t="s">
        <v>34</v>
      </c>
      <c r="C20" s="123" t="s">
        <v>227</v>
      </c>
      <c r="D20" s="123" t="s">
        <v>226</v>
      </c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01" t="s">
        <v>80</v>
      </c>
      <c r="W20" s="101" t="s">
        <v>80</v>
      </c>
      <c r="X20" s="122"/>
      <c r="Y20" s="121"/>
    </row>
    <row r="21" spans="2:25" ht="16" customHeight="1">
      <c r="B21" s="124" t="s">
        <v>35</v>
      </c>
      <c r="C21" s="123" t="s">
        <v>225</v>
      </c>
      <c r="D21" s="123" t="s">
        <v>224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01" t="s">
        <v>80</v>
      </c>
      <c r="W21" s="101" t="s">
        <v>80</v>
      </c>
      <c r="X21" s="122"/>
      <c r="Y21" s="121"/>
    </row>
    <row r="22" spans="2:25" ht="16" customHeight="1">
      <c r="B22" s="124" t="s">
        <v>36</v>
      </c>
      <c r="C22" s="123" t="s">
        <v>223</v>
      </c>
      <c r="D22" s="123" t="s">
        <v>222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01" t="s">
        <v>45</v>
      </c>
      <c r="W22" s="101" t="s">
        <v>45</v>
      </c>
      <c r="X22" s="122"/>
      <c r="Y22" s="121"/>
    </row>
    <row r="23" spans="2:25" ht="16" customHeight="1">
      <c r="B23" s="124" t="s">
        <v>37</v>
      </c>
      <c r="C23" s="123" t="s">
        <v>221</v>
      </c>
      <c r="D23" s="123" t="s">
        <v>220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01" t="s">
        <v>45</v>
      </c>
      <c r="W23" s="101" t="s">
        <v>45</v>
      </c>
      <c r="X23" s="122"/>
      <c r="Y23" s="121"/>
    </row>
    <row r="24" spans="2:25" ht="16" customHeight="1">
      <c r="B24" s="124" t="s">
        <v>38</v>
      </c>
      <c r="C24" s="123" t="s">
        <v>219</v>
      </c>
      <c r="D24" s="123" t="s">
        <v>218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01" t="s">
        <v>50</v>
      </c>
      <c r="W24" s="101" t="s">
        <v>50</v>
      </c>
      <c r="X24" s="122"/>
      <c r="Y24" s="121"/>
    </row>
    <row r="25" spans="2:25" ht="16" customHeight="1">
      <c r="B25" s="124" t="s">
        <v>58</v>
      </c>
      <c r="C25" s="123" t="s">
        <v>217</v>
      </c>
      <c r="D25" s="123" t="s">
        <v>216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01" t="s">
        <v>50</v>
      </c>
      <c r="W25" s="101" t="s">
        <v>50</v>
      </c>
      <c r="X25" s="122"/>
      <c r="Y25" s="121"/>
    </row>
    <row r="26" spans="2:25" ht="16" customHeight="1">
      <c r="B26" s="124" t="s">
        <v>59</v>
      </c>
      <c r="C26" s="123" t="s">
        <v>215</v>
      </c>
      <c r="D26" s="123" t="s">
        <v>214</v>
      </c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01" t="s">
        <v>80</v>
      </c>
      <c r="W26" s="101" t="s">
        <v>80</v>
      </c>
      <c r="X26" s="122"/>
      <c r="Y26" s="121"/>
    </row>
    <row r="27" spans="2:25" ht="16" customHeight="1">
      <c r="B27" s="124" t="s">
        <v>60</v>
      </c>
      <c r="C27" s="123" t="s">
        <v>213</v>
      </c>
      <c r="D27" s="123" t="s">
        <v>212</v>
      </c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01" t="s">
        <v>50</v>
      </c>
      <c r="W27" s="101" t="s">
        <v>50</v>
      </c>
      <c r="X27" s="122"/>
      <c r="Y27" s="121"/>
    </row>
    <row r="28" spans="2:25" ht="16" customHeight="1">
      <c r="B28" s="124" t="s">
        <v>61</v>
      </c>
      <c r="C28" s="123" t="s">
        <v>211</v>
      </c>
      <c r="D28" s="123" t="s">
        <v>210</v>
      </c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01" t="s">
        <v>50</v>
      </c>
      <c r="W28" s="101" t="s">
        <v>50</v>
      </c>
      <c r="X28" s="122"/>
      <c r="Y28" s="121"/>
    </row>
    <row r="29" spans="2:25" ht="16" customHeight="1">
      <c r="B29" s="124" t="s">
        <v>62</v>
      </c>
      <c r="C29" s="123" t="s">
        <v>209</v>
      </c>
      <c r="D29" s="123" t="s">
        <v>208</v>
      </c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01" t="s">
        <v>55</v>
      </c>
      <c r="W29" s="101" t="s">
        <v>55</v>
      </c>
      <c r="X29" s="122"/>
      <c r="Y29" s="121"/>
    </row>
    <row r="30" spans="2:25" ht="16" customHeight="1">
      <c r="B30" s="124" t="s">
        <v>63</v>
      </c>
      <c r="C30" s="123" t="s">
        <v>207</v>
      </c>
      <c r="D30" s="123" t="s">
        <v>206</v>
      </c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01" t="s">
        <v>80</v>
      </c>
      <c r="W30" s="101" t="s">
        <v>80</v>
      </c>
      <c r="X30" s="122"/>
      <c r="Y30" s="121"/>
    </row>
    <row r="31" spans="2:25" ht="16" customHeight="1">
      <c r="B31" s="124" t="s">
        <v>64</v>
      </c>
      <c r="C31" s="123" t="s">
        <v>205</v>
      </c>
      <c r="D31" s="123" t="s">
        <v>204</v>
      </c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01" t="s">
        <v>50</v>
      </c>
      <c r="W31" s="101" t="s">
        <v>50</v>
      </c>
      <c r="X31" s="122"/>
      <c r="Y31" s="121"/>
    </row>
    <row r="32" spans="2:25" ht="16" customHeight="1">
      <c r="B32" s="124" t="s">
        <v>65</v>
      </c>
      <c r="C32" s="123" t="s">
        <v>203</v>
      </c>
      <c r="D32" s="123" t="s">
        <v>202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01" t="s">
        <v>80</v>
      </c>
      <c r="W32" s="101" t="s">
        <v>80</v>
      </c>
      <c r="X32" s="122"/>
      <c r="Y32" s="121"/>
    </row>
    <row r="33" spans="2:25" ht="16" customHeight="1">
      <c r="B33" s="124" t="s">
        <v>66</v>
      </c>
      <c r="C33" s="123" t="s">
        <v>201</v>
      </c>
      <c r="D33" s="123" t="s">
        <v>200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01" t="s">
        <v>45</v>
      </c>
      <c r="W33" s="101" t="s">
        <v>45</v>
      </c>
      <c r="X33" s="122"/>
      <c r="Y33" s="121"/>
    </row>
    <row r="34" spans="2:25" ht="16" customHeight="1">
      <c r="B34" s="124" t="s">
        <v>67</v>
      </c>
      <c r="C34" s="123" t="s">
        <v>199</v>
      </c>
      <c r="D34" s="123" t="s">
        <v>198</v>
      </c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01" t="s">
        <v>80</v>
      </c>
      <c r="W34" s="101" t="s">
        <v>80</v>
      </c>
      <c r="X34" s="122"/>
      <c r="Y34" s="121"/>
    </row>
    <row r="35" spans="2:25" ht="16" customHeight="1">
      <c r="B35" s="124" t="s">
        <v>68</v>
      </c>
      <c r="C35" s="123" t="s">
        <v>197</v>
      </c>
      <c r="D35" s="123" t="s">
        <v>196</v>
      </c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01" t="s">
        <v>50</v>
      </c>
      <c r="W35" s="101" t="s">
        <v>50</v>
      </c>
      <c r="X35" s="122"/>
      <c r="Y35" s="121"/>
    </row>
    <row r="36" spans="2:25" ht="16" customHeight="1">
      <c r="B36" s="124" t="s">
        <v>69</v>
      </c>
      <c r="C36" s="123" t="s">
        <v>195</v>
      </c>
      <c r="D36" s="123" t="s">
        <v>194</v>
      </c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01" t="s">
        <v>50</v>
      </c>
      <c r="W36" s="101" t="s">
        <v>50</v>
      </c>
      <c r="X36" s="122"/>
      <c r="Y36" s="121"/>
    </row>
    <row r="37" spans="2:25" ht="16" customHeight="1">
      <c r="B37" s="124" t="s">
        <v>70</v>
      </c>
      <c r="C37" s="123" t="s">
        <v>193</v>
      </c>
      <c r="D37" s="123" t="s">
        <v>192</v>
      </c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01" t="s">
        <v>80</v>
      </c>
      <c r="W37" s="101" t="s">
        <v>80</v>
      </c>
      <c r="X37" s="122"/>
      <c r="Y37" s="121"/>
    </row>
    <row r="38" spans="2:25" ht="16" customHeight="1">
      <c r="B38" s="124" t="s">
        <v>71</v>
      </c>
      <c r="C38" s="123" t="s">
        <v>191</v>
      </c>
      <c r="D38" s="123" t="s">
        <v>190</v>
      </c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01" t="s">
        <v>50</v>
      </c>
      <c r="W38" s="101" t="s">
        <v>50</v>
      </c>
      <c r="X38" s="122"/>
      <c r="Y38" s="121"/>
    </row>
    <row r="39" spans="2:25" ht="16" customHeight="1">
      <c r="B39" s="124" t="s">
        <v>72</v>
      </c>
      <c r="C39" s="123" t="s">
        <v>189</v>
      </c>
      <c r="D39" s="123" t="s">
        <v>188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01" t="s">
        <v>50</v>
      </c>
      <c r="W39" s="101" t="s">
        <v>50</v>
      </c>
      <c r="X39" s="122"/>
      <c r="Y39" s="121"/>
    </row>
    <row r="40" spans="2:25" ht="16" customHeight="1">
      <c r="B40" s="124" t="s">
        <v>73</v>
      </c>
      <c r="C40" s="123" t="s">
        <v>187</v>
      </c>
      <c r="D40" s="123" t="s">
        <v>186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01" t="s">
        <v>47</v>
      </c>
      <c r="W40" s="101" t="s">
        <v>47</v>
      </c>
      <c r="X40" s="122"/>
      <c r="Y40" s="121"/>
    </row>
    <row r="41" spans="2:25" ht="16" customHeight="1">
      <c r="B41" s="124" t="s">
        <v>74</v>
      </c>
      <c r="C41" s="123" t="s">
        <v>185</v>
      </c>
      <c r="D41" s="123" t="s">
        <v>184</v>
      </c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01" t="s">
        <v>80</v>
      </c>
      <c r="W41" s="101" t="s">
        <v>80</v>
      </c>
      <c r="X41" s="122"/>
      <c r="Y41" s="121"/>
    </row>
    <row r="42" spans="2:25" ht="16" customHeight="1">
      <c r="B42" s="124" t="s">
        <v>75</v>
      </c>
      <c r="C42" s="123" t="s">
        <v>183</v>
      </c>
      <c r="D42" s="123" t="s">
        <v>182</v>
      </c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01" t="s">
        <v>45</v>
      </c>
      <c r="W42" s="101" t="s">
        <v>45</v>
      </c>
      <c r="X42" s="122"/>
      <c r="Y42" s="121"/>
    </row>
    <row r="43" spans="2:25" ht="16" customHeight="1">
      <c r="B43" s="124" t="s">
        <v>76</v>
      </c>
      <c r="C43" s="123" t="s">
        <v>181</v>
      </c>
      <c r="D43" s="123" t="s">
        <v>180</v>
      </c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01" t="s">
        <v>80</v>
      </c>
      <c r="W43" s="101" t="s">
        <v>80</v>
      </c>
      <c r="X43" s="122"/>
      <c r="Y43" s="121"/>
    </row>
    <row r="44" spans="2:25" ht="16" customHeight="1">
      <c r="B44" s="124" t="s">
        <v>77</v>
      </c>
      <c r="C44" s="123" t="s">
        <v>179</v>
      </c>
      <c r="D44" s="123" t="s">
        <v>178</v>
      </c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01" t="s">
        <v>50</v>
      </c>
      <c r="W44" s="101" t="s">
        <v>50</v>
      </c>
      <c r="X44" s="122"/>
      <c r="Y44" s="121"/>
    </row>
    <row r="45" spans="2:25" ht="16" customHeight="1">
      <c r="B45" s="124" t="s">
        <v>78</v>
      </c>
      <c r="C45" s="123" t="s">
        <v>177</v>
      </c>
      <c r="D45" s="123" t="s">
        <v>176</v>
      </c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01" t="s">
        <v>50</v>
      </c>
      <c r="W45" s="101" t="s">
        <v>50</v>
      </c>
      <c r="X45" s="122"/>
      <c r="Y45" s="121"/>
    </row>
    <row r="46" spans="2:25" ht="16" customHeight="1">
      <c r="B46" s="124" t="s">
        <v>79</v>
      </c>
      <c r="C46" s="123" t="s">
        <v>175</v>
      </c>
      <c r="D46" s="123" t="s">
        <v>174</v>
      </c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01" t="s">
        <v>80</v>
      </c>
      <c r="W46" s="101" t="s">
        <v>80</v>
      </c>
      <c r="X46" s="122"/>
      <c r="Y46" s="121"/>
    </row>
    <row r="47" spans="2:25" ht="23" customHeight="1">
      <c r="B47" s="117" t="s">
        <v>81</v>
      </c>
      <c r="C47" s="117"/>
      <c r="D47" s="114" t="s">
        <v>268</v>
      </c>
      <c r="E47" s="114"/>
      <c r="F47" s="119" t="s">
        <v>82</v>
      </c>
      <c r="G47" s="118"/>
      <c r="H47" s="143">
        <v>45717</v>
      </c>
      <c r="I47" s="112"/>
      <c r="J47" s="112"/>
      <c r="K47" s="111"/>
      <c r="L47" s="120" t="s">
        <v>83</v>
      </c>
      <c r="M47" s="120"/>
      <c r="N47" s="120"/>
      <c r="O47" s="117"/>
      <c r="P47" s="117"/>
      <c r="Q47" s="117"/>
      <c r="R47" s="117"/>
      <c r="S47" s="117"/>
      <c r="T47" s="119" t="s">
        <v>84</v>
      </c>
      <c r="U47" s="118"/>
      <c r="V47" s="113"/>
      <c r="W47" s="112"/>
      <c r="X47" s="112"/>
      <c r="Y47" s="111"/>
    </row>
    <row r="48" spans="2:25" ht="13" customHeight="1">
      <c r="B48" s="117" t="s">
        <v>85</v>
      </c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</row>
    <row r="49" spans="2:26" ht="15" customHeight="1">
      <c r="B49" s="114" t="s">
        <v>87</v>
      </c>
      <c r="C49" s="117" t="s">
        <v>86</v>
      </c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</row>
    <row r="50" spans="2:26" ht="15" customHeight="1">
      <c r="B50" s="114" t="s">
        <v>87</v>
      </c>
      <c r="C50" s="117" t="s">
        <v>88</v>
      </c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</row>
    <row r="51" spans="2:26" ht="27" customHeight="1">
      <c r="B51" s="114" t="s">
        <v>87</v>
      </c>
      <c r="C51" s="117" t="s">
        <v>89</v>
      </c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</row>
    <row r="52" spans="2:26" ht="18" customHeight="1">
      <c r="B52" s="116" t="s">
        <v>87</v>
      </c>
      <c r="C52" s="115" t="s">
        <v>269</v>
      </c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</row>
    <row r="53" spans="2:26" ht="23" customHeight="1">
      <c r="B53" s="114" t="s">
        <v>87</v>
      </c>
      <c r="C53" s="113" t="s">
        <v>90</v>
      </c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1"/>
      <c r="Z53" s="110"/>
    </row>
    <row r="54" spans="2:26">
      <c r="C54" s="109"/>
      <c r="D54" s="109"/>
      <c r="E54" s="109"/>
    </row>
  </sheetData>
  <mergeCells count="35">
    <mergeCell ref="B5:B6"/>
    <mergeCell ref="C5:C6"/>
    <mergeCell ref="B1:Y1"/>
    <mergeCell ref="B2:Y2"/>
    <mergeCell ref="B3:D3"/>
    <mergeCell ref="E3:P3"/>
    <mergeCell ref="Q3:S3"/>
    <mergeCell ref="W3:Y3"/>
    <mergeCell ref="W5:W6"/>
    <mergeCell ref="X5:X6"/>
    <mergeCell ref="Y5:Y6"/>
    <mergeCell ref="B4:D4"/>
    <mergeCell ref="E4:J4"/>
    <mergeCell ref="K4:P4"/>
    <mergeCell ref="Q4:V4"/>
    <mergeCell ref="E5:T5"/>
    <mergeCell ref="E6:L6"/>
    <mergeCell ref="M6:P6"/>
    <mergeCell ref="L47:N47"/>
    <mergeCell ref="O47:S47"/>
    <mergeCell ref="T47:U47"/>
    <mergeCell ref="D5:D6"/>
    <mergeCell ref="U5:U6"/>
    <mergeCell ref="V5:V6"/>
    <mergeCell ref="Q6:T6"/>
    <mergeCell ref="C53:Y53"/>
    <mergeCell ref="V47:Y47"/>
    <mergeCell ref="B48:Y48"/>
    <mergeCell ref="C49:Y49"/>
    <mergeCell ref="C50:Y50"/>
    <mergeCell ref="C51:Y51"/>
    <mergeCell ref="C52:Y52"/>
    <mergeCell ref="B47:C47"/>
    <mergeCell ref="F47:G47"/>
    <mergeCell ref="H47:K47"/>
  </mergeCells>
  <phoneticPr fontId="22" type="noConversion"/>
  <pageMargins left="0.24959999999999999" right="0.24959999999999999" top="0.21840000000000004" bottom="0.21840000000000004" header="0.5" footer="0.5"/>
  <pageSetup paperSize="9" fitToWidth="0" fitToHeight="0" orientation="landscape"/>
  <headerFooter scaleWithDoc="0" alignWithMargins="0"/>
  <rowBreaks count="1" manualBreakCount="1">
    <brk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29">
    <commentChains s:ref="H4" rgbClr="FF0000">
      <unresolved>
        <commentChain chainId="171a6c4e3f3c291682e1c799a61390c3b03a11fa">
          <item id="e4215869510f1c16041bc3bd5a1532e8ee4c549c" isNormal="1">
            <s:text>
              <s:r>
                <s:t xml:space="preserve">批注:
批注:
批注:
批注:
jj:
应到人数为班级人数，
应到＝实到+缺考+违纪
</s:t>
              </s:r>
            </s:text>
          </item>
        </commentChain>
      </unresolved>
      <resolved/>
    </commentChains>
  </commentList>
  <commentList sheetStid="27">
    <commentChains s:ref="H4" rgbClr="FF0000">
      <unresolved>
        <commentChain chainId="11f71f757597a055604d3e6b368f9c95aa4747bf">
          <item id="7c6a64f7867f9fafb5006282c781ff320fd2c89c" isNormal="1">
            <s:text>
              <s:r>
                <s:t xml:space="preserve">批注:
批注:
批注:
批注:
jj:
应到人数为班级人数，
应到＝实到+缺考+违纪
</s:t>
              </s:r>
            </s:text>
          </item>
        </commentChain>
      </unresolved>
      <resolved/>
    </commentChains>
  </commentList>
  <commentList sheetStid="3">
    <commentChains s:ref="H4" rgbClr="FF0000">
      <unresolved>
        <commentChain chainId="4edd89e917aadcd79278869c3fa1cb50c99b56c9">
          <item id="9616f15a6e6ea1b9fe9350049353e449f99d447c" isNormal="1">
            <s:text>
              <s:r>
                <s:t xml:space="preserve">批注:
批注:
批注:
批注:
jj:
应到人数为班级人数，
应到＝实到+缺考+违纪
</s:t>
              </s:r>
            </s:text>
          </item>
        </commentChain>
      </unresolved>
      <resolved/>
    </commentChains>
  </commentList>
  <commentList sheetStid="15">
    <commentChains s:ref="H4" rgbClr="FF0000">
      <unresolved>
        <commentChain chainId="201f59585feb767cc14c8d41889eb9734b2c2f65">
          <item id="daf2ee7b9464ad7ee6219af6938792ab87b428a1" isNormal="1">
            <s:text>
              <s:r>
                <s:t xml:space="preserve">批注:
批注:
批注:
批注:
jj:
应到人数为班级人数，
应到＝实到+缺考+违纪
</s:t>
              </s:r>
            </s:text>
          </item>
        </commentChain>
      </unresolved>
      <resolved/>
    </commentChains>
  </commentList>
  <commentList sheetStid="12">
    <commentChains s:ref="H4" rgbClr="FF0000">
      <unresolved>
        <commentChain chainId="d078097e12e7e5ed5e6e6612ad45392cac3b6b0e">
          <item id="35a8fc0af89b0a051eeadf793d632e69616559db" isNormal="1">
            <s:text>
              <s:r>
                <s:t xml:space="preserve">批注:
批注:
批注:
批注:
jj:
应到人数为班级人数，
应到＝实到+缺考+违纪
</s:t>
              </s:r>
            </s:text>
          </item>
        </commentChain>
      </unresolved>
      <resolved/>
    </commentChains>
  </commentList>
  <commentList sheetStid="9">
    <commentChains s:ref="H4" rgbClr="FF0000">
      <unresolved>
        <commentChain chainId="e9efd0b5a891ebd151e3d327ae694c8751b599d7">
          <item id="8c706f681c438ee08e16094c4ce80008f088d9d5" isNormal="1">
            <s:text>
              <s:r>
                <s:t xml:space="preserve">批注:
批注:
批注:
批注:
jj:
应到人数为班级人数，
应到＝实到+缺考+违纪
</s:t>
              </s:r>
            </s:text>
          </item>
        </commentChain>
      </unresolved>
      <resolved/>
    </commentChains>
  </commentList>
  <commentList sheetStid="6">
    <commentChains s:ref="H4" rgbClr="FF0000">
      <unresolved>
        <commentChain chainId="2b0a133d8c2cf21d2328b70c4d637178f580cf8d">
          <item id="2bdb194dbcc78f59c7eeb51bbaea6a0508b0baa3" isNormal="1">
            <s:text>
              <s:r>
                <s:t xml:space="preserve">批注:
批注:
批注:
批注:
jj:
应到人数为班级人数，
应到＝实到+缺考+违纪
</s:t>
              </s:r>
            </s:text>
          </item>
        </commentChain>
      </unresolved>
      <resolved/>
    </commentChains>
  </commentList>
</comments>
</file>

<file path=customXml/item2.xml><?xml version="1.0" encoding="utf-8"?>
<pixelators xmlns="https://web.wps.cn/et/2018/main" xmlns:s="http://schemas.openxmlformats.org/spreadsheetml/2006/main">
  <pixelatorList sheetStid="24"/>
  <pixelatorList sheetStid="22"/>
  <pixelatorList sheetStid="28"/>
  <pixelatorList sheetStid="29"/>
  <pixelatorList sheetStid="25"/>
  <pixelatorList sheetStid="23"/>
  <pixelatorList sheetStid="26"/>
  <pixelatorList sheetStid="27"/>
  <pixelatorList sheetStid="2"/>
  <pixelatorList sheetStid="1"/>
  <pixelatorList sheetStid="16"/>
  <pixelatorList sheetStid="3"/>
  <pixelatorList sheetStid="14"/>
  <pixelatorList sheetStid="13"/>
  <pixelatorList sheetStid="17"/>
  <pixelatorList sheetStid="15"/>
  <pixelatorList sheetStid="11"/>
  <pixelatorList sheetStid="10"/>
  <pixelatorList sheetStid="18"/>
  <pixelatorList sheetStid="12"/>
  <pixelatorList sheetStid="8"/>
  <pixelatorList sheetStid="7"/>
  <pixelatorList sheetStid="19"/>
  <pixelatorList sheetStid="9"/>
  <pixelatorList sheetStid="5"/>
  <pixelatorList sheetStid="4"/>
  <pixelatorList sheetStid="20"/>
  <pixelatorList sheetStid="6"/>
  <pixelatorList sheetStid="30"/>
</pixelators>
</file>

<file path=customXml/item3.xml><?xml version="1.0" encoding="utf-8"?>
<woProps xmlns="https://web.wps.cn/et/2018/main" xmlns:s="http://schemas.openxmlformats.org/spreadsheetml/2006/main">
  <woSheetsProps>
    <woSheetProps interlineColor="0" interlineOnOff="0" sheetStid="24" isDbDashBoardSheet="0" isDbSheet="0" isFlexPaperSheet="0" isDashBoardSheet="0">
      <cellprotection/>
      <appEtDbRelations/>
    </woSheetProps>
    <woSheetProps interlineColor="0" interlineOnOff="0" sheetStid="22" isDbDashBoardSheet="0" isDbSheet="0" isFlexPaperSheet="0" isDashBoardSheet="0">
      <cellprotection/>
      <appEtDbRelations/>
    </woSheetProps>
    <woSheetProps interlineColor="0" interlineOnOff="0" sheetStid="28" isDbDashBoardSheet="0" isDbSheet="0" isFlexPaperSheet="0" isDashBoardSheet="0">
      <cellprotection/>
      <appEtDbRelations/>
    </woSheetProps>
    <woSheetProps interlineColor="0" interlineOnOff="0" sheetStid="29" isDbDashBoardSheet="0" isDbSheet="0" isFlexPaperSheet="0" isDashBoardSheet="0">
      <cellprotection/>
      <appEtDbRelations/>
    </woSheetProps>
    <woSheetProps interlineColor="0" interlineOnOff="0" sheetStid="25" isDbDashBoardSheet="0" isDbSheet="0" isFlexPaperSheet="0" isDashBoardSheet="0">
      <cellprotection/>
      <appEtDbRelations/>
    </woSheetProps>
    <woSheetProps interlineColor="0" interlineOnOff="0" sheetStid="23" isDbDashBoardSheet="0" isDbSheet="0" isFlexPaperSheet="0" isDashBoardSheet="0">
      <cellprotection/>
      <appEtDbRelations/>
    </woSheetProps>
    <woSheetProps interlineColor="0" interlineOnOff="0" sheetStid="26" isDbDashBoardSheet="0" isDbSheet="0" isFlexPaperSheet="0" isDashBoardSheet="0">
      <cellprotection/>
      <appEtDbRelations/>
    </woSheetProps>
    <woSheetProps interlineColor="0" interlineOnOff="0" sheetStid="27" isDbDashBoardSheet="0" isDbSheet="0" isFlexPaperSheet="0" isDashBoardSheet="0">
      <cellprotection/>
      <appEtDbRelations/>
    </woSheetProps>
    <woSheetProps interlineColor="0" interlineOnOff="0" sheetStid="2" isDbDashBoardSheet="0" isDbSheet="0" isFlexPaperSheet="0" isDashBoardSheet="0">
      <cellprotection/>
      <appEtDbRelations/>
    </woSheetProps>
    <woSheetProps interlineColor="0" interlineOnOff="0" sheetStid="1" isDbDashBoardSheet="0" isDbSheet="0" isFlexPaperSheet="0" isDashBoardSheet="0">
      <cellprotection/>
      <appEtDbRelations/>
    </woSheetProps>
    <woSheetProps interlineColor="0" interlineOnOff="0" sheetStid="16" isDbDashBoardSheet="0" isDbSheet="0" isFlexPaperSheet="0" isDashBoardSheet="0">
      <cellprotection/>
      <appEtDbRelations/>
    </woSheetProps>
    <woSheetProps interlineColor="0" interlineOnOff="0" sheetStid="3" isDbDashBoardSheet="0" isDbSheet="0" isFlexPaperSheet="0" isDashBoardSheet="0">
      <cellprotection/>
      <appEtDbRelations/>
    </woSheetProps>
    <woSheetProps interlineColor="0" interlineOnOff="0" sheetStid="14" isDbDashBoardSheet="0" isDbSheet="0" isFlexPaperSheet="0" isDashBoardSheet="0">
      <cellprotection/>
      <appEtDbRelations/>
    </woSheetProps>
    <woSheetProps interlineColor="0" interlineOnOff="0" sheetStid="13" isDbDashBoardSheet="0" isDbSheet="0" isFlexPaperSheet="0" isDashBoardSheet="0">
      <cellprotection/>
      <appEtDbRelations/>
    </woSheetProps>
    <woSheetProps interlineColor="0" interlineOnOff="0" sheetStid="17" isDbDashBoardSheet="0" isDbSheet="0" isFlexPaperSheet="0" isDashBoardSheet="0">
      <cellprotection/>
      <appEtDbRelations/>
    </woSheetProps>
    <woSheetProps interlineColor="0" interlineOnOff="0" sheetStid="15" isDbDashBoardSheet="0" isDbSheet="0" isFlexPaperSheet="0" isDashBoardSheet="0">
      <cellprotection/>
      <appEtDbRelations/>
    </woSheetProps>
    <woSheetProps interlineColor="0" interlineOnOff="0" sheetStid="11" isDbDashBoardSheet="0" isDbSheet="0" isFlexPaperSheet="0" isDashBoardSheet="0">
      <cellprotection/>
      <appEtDbRelations/>
    </woSheetProps>
    <woSheetProps interlineColor="0" interlineOnOff="0" sheetStid="10" isDbDashBoardSheet="0" isDbSheet="0" isFlexPaperSheet="0" isDashBoardSheet="0">
      <cellprotection/>
      <appEtDbRelations/>
    </woSheetProps>
    <woSheetProps interlineColor="0" interlineOnOff="0" sheetStid="18" isDbDashBoardSheet="0" isDbSheet="0" isFlexPaperSheet="0" isDashBoardSheet="0">
      <cellprotection/>
      <appEtDbRelations/>
    </woSheetProps>
    <woSheetProps interlineColor="0" interlineOnOff="0" sheetStid="12" isDbDashBoardSheet="0" isDbSheet="0" isFlexPaperSheet="0" isDashBoardSheet="0">
      <cellprotection/>
      <appEtDbRelations/>
    </woSheetProps>
    <woSheetProps interlineColor="0" interlineOnOff="0" sheetStid="8" isDbDashBoardSheet="0" isDbSheet="0" isFlexPaperSheet="0" isDashBoardSheet="0">
      <cellprotection/>
      <appEtDbRelations/>
    </woSheetProps>
    <woSheetProps interlineColor="0" interlineOnOff="0" sheetStid="7" isDbDashBoardSheet="0" isDbSheet="0" isFlexPaperSheet="0" isDashBoardSheet="0">
      <cellprotection/>
      <appEtDbRelations/>
    </woSheetProps>
    <woSheetProps interlineColor="0" interlineOnOff="0" sheetStid="19" isDbDashBoardSheet="0" isDbSheet="0" isFlexPaperSheet="0" isDashBoardSheet="0">
      <cellprotection/>
      <appEtDbRelations/>
    </woSheetProps>
    <woSheetProps interlineColor="0" interlineOnOff="0" sheetStid="9" isDbDashBoardSheet="0" isDbSheet="0" isFlexPaperSheet="0" isDashBoardSheet="0">
      <cellprotection/>
      <appEtDbRelations/>
    </woSheetProps>
    <woSheetProps interlineColor="0" interlineOnOff="0" sheetStid="5" isDbDashBoardSheet="0" isDbSheet="0" isFlexPaperSheet="0" isDashBoardSheet="0">
      <cellprotection/>
      <appEtDbRelations/>
    </woSheetProps>
    <woSheetProps interlineColor="0" interlineOnOff="0" sheetStid="4" isDbDashBoardSheet="0" isDbSheet="0" isFlexPaperSheet="0" isDashBoardSheet="0">
      <cellprotection/>
      <appEtDbRelations/>
    </woSheetProps>
    <woSheetProps interlineColor="0" interlineOnOff="0" sheetStid="20" isDbDashBoardSheet="0" isDbSheet="0" isFlexPaperSheet="0" isDashBoardSheet="0">
      <cellprotection/>
      <appEtDbRelations/>
    </woSheetProps>
    <woSheetProps interlineColor="0" interlineOnOff="0" sheetStid="6" isDbDashBoardSheet="0" isDbSheet="0" isFlexPaperSheet="0" isDashBoardSheet="0">
      <cellprotection/>
      <appEtDbRelations/>
    </woSheetProps>
  </woSheetsProps>
  <woBookProps>
    <bookSettings coreConquerUserId="" isAutoUpdatePaused="0" fileId="" isInserPicAsAttachment="0" isFilterShared="1" isMergeTasksAutoUpdate="0" filterType="conn"/>
  </woBookProps>
</woProps>
</file>

<file path=customXml/item4.xml><?xml version="1.0" encoding="utf-8"?>
<allowEditUser xmlns="https://web.wps.cn/et/2018/main" xmlns:s="http://schemas.openxmlformats.org/spreadsheetml/2006/main" hasInvisiblePropRange="0">
  <rangeList sheetStid="25" master="" otherUserPermission="visible"/>
  <rangeList sheetStid="23" master="" otherUserPermission="visible"/>
  <rangeList sheetStid="26" master="" otherUserPermission="visible"/>
  <rangeList sheetStid="27" master="" otherUserPermission="visible"/>
</allowEditUser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临班150进度表</vt:lpstr>
      <vt:lpstr>临班150评价表</vt:lpstr>
      <vt:lpstr>临班150原始表</vt:lpstr>
      <vt:lpstr>临班150登记表</vt:lpstr>
      <vt:lpstr>临班150评价表!Print_Area</vt:lpstr>
      <vt:lpstr>临班150进度表!Print_Titles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Sheng Gu</cp:lastModifiedBy>
  <dcterms:created xsi:type="dcterms:W3CDTF">2024-01-12T10:28:00Z</dcterms:created>
  <dcterms:modified xsi:type="dcterms:W3CDTF">2025-03-19T10:13:42Z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5F57CF9828276EE0FDF3A3652CC89839_43</vt:lpwstr>
  </property>
  <property fmtid="{D5CDD505-2E9C-101B-9397-08002B2CF9AE}" pid="3" name="KSOProductBuildVer">
    <vt:lpwstr>2052-12.1.0.17857</vt:lpwstr>
  </property>
</Properties>
</file>